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" sheetId="1" r:id="rId4"/>
    <sheet state="visible" name="analises" sheetId="2" r:id="rId5"/>
    <sheet state="visible" name="dashboards" sheetId="3" r:id="rId6"/>
  </sheets>
  <definedNames/>
  <calcPr/>
  <pivotCaches>
    <pivotCache cacheId="0" r:id="rId7"/>
    <pivotCache cacheId="1" r:id="rId8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ticket médio = receita total / número de vendas
	-Eduardo Ribeiro</t>
      </text>
    </comment>
  </commentList>
</comments>
</file>

<file path=xl/sharedStrings.xml><?xml version="1.0" encoding="utf-8"?>
<sst xmlns="http://schemas.openxmlformats.org/spreadsheetml/2006/main" count="999" uniqueCount="32">
  <si>
    <t>Data</t>
  </si>
  <si>
    <t>Mês</t>
  </si>
  <si>
    <t>Produto</t>
  </si>
  <si>
    <t>Categoria</t>
  </si>
  <si>
    <t>Vendedor</t>
  </si>
  <si>
    <t>Região</t>
  </si>
  <si>
    <t>Quantidade</t>
  </si>
  <si>
    <t>Preço Unitário</t>
  </si>
  <si>
    <t>Receita</t>
  </si>
  <si>
    <t>Monitor</t>
  </si>
  <si>
    <t>Eletrônicos</t>
  </si>
  <si>
    <t>Mariana</t>
  </si>
  <si>
    <t>Centro-Oeste</t>
  </si>
  <si>
    <t>Ana</t>
  </si>
  <si>
    <t>Sudeste</t>
  </si>
  <si>
    <t>Notebook</t>
  </si>
  <si>
    <t>João</t>
  </si>
  <si>
    <t>Sul</t>
  </si>
  <si>
    <t>Headset</t>
  </si>
  <si>
    <t>Acessórios</t>
  </si>
  <si>
    <t>Teclado</t>
  </si>
  <si>
    <t>Carlos</t>
  </si>
  <si>
    <t>Nordeste</t>
  </si>
  <si>
    <t>Impressora</t>
  </si>
  <si>
    <t>Mouse</t>
  </si>
  <si>
    <t>SUM de Receita</t>
  </si>
  <si>
    <t>Total geral</t>
  </si>
  <si>
    <t>Utilização de KPIs</t>
  </si>
  <si>
    <t>Receita Total</t>
  </si>
  <si>
    <t>Ticket Médio</t>
  </si>
  <si>
    <t>Melhor Vendedor (Maior Receita)</t>
  </si>
  <si>
    <t>Produto Campeão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</si>
</sst>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R$ -416]#,##0.00"/>
    <numFmt numFmtId="166" formatCode="[$R$ -416]#,##0"/>
  </numFmts>
  <fonts count="5"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sz val="13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164" xfId="0" applyFill="1" applyFont="1" applyNumberFormat="1"/>
    <xf borderId="0" fillId="2" fontId="1" numFmtId="164" xfId="0" applyAlignment="1" applyFont="1" applyNumberFormat="1">
      <alignment readingOrder="0"/>
    </xf>
    <xf borderId="0" fillId="2" fontId="1" numFmtId="0" xfId="0" applyFont="1"/>
    <xf borderId="0" fillId="2" fontId="1" numFmtId="165" xfId="0" applyFont="1" applyNumberFormat="1"/>
    <xf borderId="0" fillId="2" fontId="1" numFmtId="0" xfId="0" applyAlignment="1" applyFont="1">
      <alignment readingOrder="0"/>
    </xf>
    <xf borderId="0" fillId="0" fontId="2" numFmtId="164" xfId="0" applyAlignment="1" applyFont="1" applyNumberFormat="1">
      <alignment horizontal="right"/>
    </xf>
    <xf borderId="0" fillId="0" fontId="2" numFmtId="14" xfId="0" applyAlignment="1" applyFont="1" applyNumberFormat="1">
      <alignment horizontal="right" readingOrder="0"/>
    </xf>
    <xf borderId="0" fillId="0" fontId="2" numFmtId="0" xfId="0" applyAlignment="1" applyFont="1">
      <alignment horizontal="right"/>
    </xf>
    <xf borderId="0" fillId="0" fontId="2" numFmtId="165" xfId="0" applyAlignment="1" applyFont="1" applyNumberFormat="1">
      <alignment horizontal="right"/>
    </xf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Font="1"/>
    <xf borderId="0" fillId="0" fontId="2" numFmtId="14" xfId="0" applyFont="1" applyNumberFormat="1"/>
    <xf borderId="0" fillId="0" fontId="3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3" fontId="4" numFmtId="0" xfId="0" applyAlignment="1" applyFill="1" applyFont="1">
      <alignment horizontal="center"/>
    </xf>
    <xf borderId="0" fillId="4" fontId="4" numFmtId="166" xfId="0" applyAlignment="1" applyFill="1" applyFont="1" applyNumberFormat="1">
      <alignment horizontal="center"/>
    </xf>
    <xf borderId="0" fillId="4" fontId="4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4" fontId="4" numFmtId="165" xfId="0" applyAlignment="1" applyFont="1" applyNumberFormat="1">
      <alignment horizontal="center"/>
    </xf>
    <xf borderId="0" fillId="4" fontId="4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400">
                <a:solidFill>
                  <a:srgbClr val="000000"/>
                </a:solidFill>
                <a:latin typeface="+mn-lt"/>
              </a:defRPr>
            </a:pPr>
            <a:r>
              <a:rPr b="0" i="0" sz="2400">
                <a:solidFill>
                  <a:srgbClr val="000000"/>
                </a:solidFill>
                <a:latin typeface="+mn-lt"/>
              </a:rPr>
              <a:t>Receita por Produto (Ordenado)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1155CC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6D9EEB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</c:dPt>
          <c:cat>
            <c:strRef>
              <c:f>analises!$D$2:$D$7</c:f>
            </c:strRef>
          </c:cat>
          <c:val>
            <c:numRef>
              <c:f>analises!$E$2:$E$7</c:f>
              <c:numCache/>
            </c:numRef>
          </c:val>
        </c:ser>
        <c:axId val="1772440849"/>
        <c:axId val="747229304"/>
      </c:barChart>
      <c:catAx>
        <c:axId val="17724408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r>
                  <a:rPr b="0">
                    <a:solidFill>
                      <a:srgbClr val="242F26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</a:p>
        </c:txPr>
        <c:crossAx val="747229304"/>
      </c:catAx>
      <c:valAx>
        <c:axId val="7472293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r>
                  <a:rPr b="0">
                    <a:solidFill>
                      <a:srgbClr val="242F26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R$ -416]#,##0.00" sourceLinked="0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</a:p>
        </c:txPr>
        <c:crossAx val="177244084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A443C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400">
                <a:solidFill>
                  <a:srgbClr val="000000"/>
                </a:solidFill>
                <a:latin typeface="+mn-lt"/>
              </a:defRPr>
            </a:pPr>
            <a:r>
              <a:rPr b="0" i="0" sz="2400">
                <a:solidFill>
                  <a:srgbClr val="000000"/>
                </a:solidFill>
                <a:latin typeface="+mn-lt"/>
              </a:rPr>
              <a:t>Desempenho por Vendedor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analises!$G$2:$G$5</c:f>
            </c:strRef>
          </c:cat>
          <c:val>
            <c:numRef>
              <c:f>analises!$H$2:$H$5</c:f>
              <c:numCache/>
            </c:numRef>
          </c:val>
        </c:ser>
        <c:axId val="572995541"/>
        <c:axId val="14753263"/>
      </c:barChart>
      <c:catAx>
        <c:axId val="572995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r>
                  <a:rPr b="0">
                    <a:solidFill>
                      <a:srgbClr val="242F26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</a:p>
        </c:txPr>
        <c:crossAx val="14753263"/>
      </c:catAx>
      <c:valAx>
        <c:axId val="14753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r>
                  <a:rPr b="0">
                    <a:solidFill>
                      <a:srgbClr val="242F26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</a:p>
        </c:txPr>
        <c:crossAx val="5729955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A443C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400">
                <a:solidFill>
                  <a:srgbClr val="000000"/>
                </a:solidFill>
                <a:latin typeface="+mn-lt"/>
              </a:defRPr>
            </a:pPr>
            <a:r>
              <a:rPr b="0" i="0" sz="2400">
                <a:solidFill>
                  <a:srgbClr val="000000"/>
                </a:solidFill>
                <a:latin typeface="+mn-lt"/>
              </a:rPr>
              <a:t>Distribuição de Receita por Região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08F66"/>
              </a:solidFill>
            </c:spPr>
          </c:dPt>
          <c:dPt>
            <c:idx val="1"/>
            <c:spPr>
              <a:solidFill>
                <a:srgbClr val="FFD966"/>
              </a:solidFill>
            </c:spPr>
          </c:dPt>
          <c:dPt>
            <c:idx val="2"/>
            <c:spPr>
              <a:solidFill>
                <a:srgbClr val="DFA398"/>
              </a:solidFill>
            </c:spPr>
          </c:dPt>
          <c:dPt>
            <c:idx val="3"/>
            <c:spPr>
              <a:solidFill>
                <a:srgbClr val="E0666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analises!$J$2:$J$5</c:f>
            </c:strRef>
          </c:cat>
          <c:val>
            <c:numRef>
              <c:f>analises!$K$2:$K$5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A443C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171450</xdr:rowOff>
    </xdr:from>
    <xdr:ext cx="4657725" cy="3038475"/>
    <xdr:pic>
      <xdr:nvPicPr>
        <xdr:cNvPr id="782871821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2324100</xdr:colOff>
      <xdr:row>4</xdr:row>
      <xdr:rowOff>171450</xdr:rowOff>
    </xdr:from>
    <xdr:ext cx="4657725" cy="30384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180975</xdr:rowOff>
    </xdr:from>
    <xdr:ext cx="4657725" cy="30384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2324100</xdr:colOff>
      <xdr:row>21</xdr:row>
      <xdr:rowOff>180975</xdr:rowOff>
    </xdr:from>
    <xdr:ext cx="4657725" cy="30384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0" sheet="vendas"/>
  </cacheSource>
  <cacheFields>
    <cacheField name="Data" numFmtId="164">
      <sharedItems containsDate="1" containsString="0" containsBlank="1">
        <d v="2024-01-02T00:00:00Z"/>
        <d v="2024-01-03T00:00:00Z"/>
        <d v="2024-01-04T00:00:00Z"/>
        <d v="2024-01-07T00:00:00Z"/>
        <d v="2024-01-10T00:00:00Z"/>
        <d v="2024-01-13T00:00:00Z"/>
        <d v="2024-01-14T00:00:00Z"/>
        <d v="2024-01-15T00:00:00Z"/>
        <d v="2024-01-17T00:00:00Z"/>
        <d v="2024-01-19T00:00:00Z"/>
        <d v="2024-01-21T00:00:00Z"/>
        <d v="2024-01-22T00:00:00Z"/>
        <d v="2024-01-26T00:00:00Z"/>
        <d v="2024-01-27T00:00:00Z"/>
        <d v="2024-01-28T00:00:00Z"/>
        <d v="2024-02-01T00:00:00Z"/>
        <d v="2024-02-03T00:00:00Z"/>
        <d v="2024-02-04T00:00:00Z"/>
        <d v="2024-02-05T00:00:00Z"/>
        <d v="2024-02-07T00:00:00Z"/>
        <d v="2024-02-09T00:00:00Z"/>
        <d v="2024-02-10T00:00:00Z"/>
        <d v="2024-02-12T00:00:00Z"/>
        <d v="2024-02-13T00:00:00Z"/>
        <d v="2024-02-19T00:00:00Z"/>
        <d v="2024-02-24T00:00:00Z"/>
        <d v="2024-02-26T00:00:00Z"/>
        <d v="2024-02-27T00:00:00Z"/>
        <d v="2024-02-29T00:00:00Z"/>
        <d v="2024-03-01T00:00:00Z"/>
        <d v="2024-03-02T00:00:00Z"/>
        <d v="2024-03-04T00:00:00Z"/>
        <d v="2024-03-06T00:00:00Z"/>
        <d v="2024-03-07T00:00:00Z"/>
        <d v="2024-03-09T00:00:00Z"/>
        <d v="2024-03-13T00:00:00Z"/>
        <d v="2024-03-19T00:00:00Z"/>
        <d v="2024-03-20T00:00:00Z"/>
        <d v="2024-03-21T00:00:00Z"/>
        <d v="2024-03-22T00:00:00Z"/>
        <d v="2024-03-26T00:00:00Z"/>
        <d v="2024-03-27T00:00:00Z"/>
        <d v="2024-03-29T00:00:00Z"/>
        <d v="2024-03-30T00:00:00Z"/>
        <d v="2024-04-01T00:00:00Z"/>
        <d v="2024-04-02T00:00:00Z"/>
        <d v="2024-04-09T00:00:00Z"/>
        <d v="2024-04-10T00:00:00Z"/>
        <d v="2024-04-11T00:00:00Z"/>
        <d v="2024-04-13T00:00:00Z"/>
        <d v="2024-04-15T00:00:00Z"/>
        <d v="2024-04-17T00:00:00Z"/>
        <d v="2024-04-19T00:00:00Z"/>
        <d v="2024-04-20T00:00:00Z"/>
        <d v="2024-04-21T00:00:00Z"/>
        <d v="2024-04-25T00:00:00Z"/>
        <d v="2024-04-29T00:00:00Z"/>
        <d v="2024-04-30T00:00:00Z"/>
        <d v="2024-05-01T00:00:00Z"/>
        <d v="2024-05-03T00:00:00Z"/>
        <d v="2024-05-05T00:00:00Z"/>
        <d v="2024-05-06T00:00:00Z"/>
        <d v="2024-05-07T00:00:00Z"/>
        <d v="2024-05-09T00:00:00Z"/>
        <d v="2024-05-13T00:00:00Z"/>
        <d v="2024-05-18T00:00:00Z"/>
        <d v="2024-05-19T00:00:00Z"/>
        <d v="2024-05-20T00:00:00Z"/>
        <d v="2024-05-21T00:00:00Z"/>
        <d v="2024-05-22T00:00:00Z"/>
        <d v="2024-05-23T00:00:00Z"/>
        <d v="2024-05-25T00:00:00Z"/>
        <d v="2024-05-26T00:00:00Z"/>
        <d v="2024-05-28T00:00:00Z"/>
        <d v="2024-05-29T00:00:00Z"/>
        <d v="2024-06-05T00:00:00Z"/>
        <d v="2024-06-07T00:00:00Z"/>
        <d v="2024-06-09T00:00:00Z"/>
        <d v="2024-06-12T00:00:00Z"/>
        <d v="2024-06-15T00:00:00Z"/>
        <d v="2024-06-16T00:00:00Z"/>
        <d v="2024-06-17T00:00:00Z"/>
        <d v="2024-06-18T00:00:00Z"/>
        <d v="2024-06-23T00:00:00Z"/>
        <d v="2024-06-24T00:00:00Z"/>
        <d v="2024-06-26T00:00:00Z"/>
        <d v="2024-06-28T00:00:00Z"/>
        <d v="2024-06-29T00:00:00Z"/>
        <d v="2024-07-04T00:00:00Z"/>
        <d v="2024-07-05T00:00:00Z"/>
        <d v="2024-07-06T00:00:00Z"/>
        <d v="2024-07-09T00:00:00Z"/>
        <d v="2024-07-10T00:00:00Z"/>
        <d v="2024-07-12T00:00:00Z"/>
        <d v="2024-07-15T00:00:00Z"/>
        <d v="2024-07-16T00:00:00Z"/>
        <d v="2024-07-17T00:00:00Z"/>
        <d v="2024-07-19T00:00:00Z"/>
        <d v="2024-07-20T00:00:00Z"/>
        <d v="2024-07-21T00:00:00Z"/>
        <d v="2024-07-22T00:00:00Z"/>
        <d v="2024-07-24T00:00:00Z"/>
        <d v="2024-07-26T00:00:00Z"/>
        <d v="2024-07-27T00:00:00Z"/>
        <d v="2024-07-28T00:00:00Z"/>
        <d v="2024-07-29T00:00:00Z"/>
        <d v="2024-07-30T00:00:00Z"/>
        <d v="2024-07-31T00:00:00Z"/>
        <d v="2024-08-02T00:00:00Z"/>
        <d v="2024-08-04T00:00:00Z"/>
        <d v="2024-08-06T00:00:00Z"/>
        <d v="2024-08-07T00:00:00Z"/>
        <d v="2024-08-08T00:00:00Z"/>
        <d v="2024-08-16T00:00:00Z"/>
        <d v="2024-08-19T00:00:00Z"/>
        <d v="2024-08-20T00:00:00Z"/>
        <d v="2024-08-21T00:00:00Z"/>
        <d v="2024-08-24T00:00:00Z"/>
        <d v="2024-08-26T00:00:00Z"/>
        <d v="2024-08-27T00:00:00Z"/>
        <d v="2024-08-28T00:00:00Z"/>
        <d v="2024-08-31T00:00:00Z"/>
        <d v="2024-09-01T00:00:00Z"/>
        <d v="2024-09-05T00:00:00Z"/>
        <d v="2024-09-08T00:00:00Z"/>
        <d v="2024-09-10T00:00:00Z"/>
        <d v="2024-09-12T00:00:00Z"/>
        <d v="2024-09-13T00:00:00Z"/>
        <d v="2024-09-14T00:00:00Z"/>
        <d v="2024-09-16T00:00:00Z"/>
        <d v="2024-09-17T00:00:00Z"/>
        <d v="2024-09-19T00:00:00Z"/>
        <d v="2024-09-20T00:00:00Z"/>
        <d v="2024-09-21T00:00:00Z"/>
        <d v="2024-09-24T00:00:00Z"/>
        <d v="2024-09-26T00:00:00Z"/>
        <d v="2024-09-27T00:00:00Z"/>
        <d v="2024-09-30T00:00:00Z"/>
        <d v="2024-10-06T00:00:00Z"/>
        <d v="2024-10-08T00:00:00Z"/>
        <d v="2024-10-11T00:00:00Z"/>
        <d v="2024-10-12T00:00:00Z"/>
        <d v="2024-10-16T00:00:00Z"/>
        <d v="2024-10-18T00:00:00Z"/>
        <d v="2024-10-22T00:00:00Z"/>
        <d v="2024-10-24T00:00:00Z"/>
        <d v="2024-10-25T00:00:00Z"/>
        <d v="2024-10-27T00:00:00Z"/>
        <d v="2024-10-28T00:00:00Z"/>
        <d v="2024-10-30T00:00:00Z"/>
        <d v="2024-11-01T00:00:00Z"/>
        <d v="2024-11-02T00:00:00Z"/>
        <d v="2024-11-06T00:00:00Z"/>
        <d v="2024-11-07T00:00:00Z"/>
        <d v="2024-11-09T00:00:00Z"/>
        <d v="2024-11-12T00:00:00Z"/>
        <d v="2024-11-14T00:00:00Z"/>
        <d v="2024-11-15T00:00:00Z"/>
        <d v="2024-11-16T00:00:00Z"/>
        <d v="2024-11-20T00:00:00Z"/>
        <d v="2024-11-22T00:00:00Z"/>
        <d v="2024-11-23T00:00:00Z"/>
        <d v="2024-11-24T00:00:00Z"/>
        <d v="2024-11-26T00:00:00Z"/>
        <d v="2024-11-27T00:00:00Z"/>
        <d v="2024-11-28T00:00:00Z"/>
        <d v="2024-11-30T00:00:00Z"/>
        <d v="2024-12-04T00:00:00Z"/>
        <d v="2024-12-07T00:00:00Z"/>
        <d v="2024-12-12T00:00:00Z"/>
        <d v="2024-12-15T00:00:00Z"/>
        <d v="2024-12-21T00:00:00Z"/>
        <d v="2024-12-24T00:00:00Z"/>
        <d v="2024-12-25T00:00:00Z"/>
        <d v="2024-12-26T00:00:00Z"/>
        <d v="2024-12-27T00:00:00Z"/>
        <d v="2024-12-28T00:00:00Z"/>
        <d v="2024-12-29T00:00:00Z"/>
        <m/>
      </sharedItems>
    </cacheField>
    <cacheField name="Mês" numFmtId="14">
      <sharedItems containsDate="1" containsString="0" containsBlank="1">
        <d v="2024-01-31T00:00:00Z"/>
        <d v="2024-02-29T00:00:00Z"/>
        <d v="2024-03-31T00:00:00Z"/>
        <d v="2024-04-30T00:00:00Z"/>
        <d v="2024-05-31T00:00:00Z"/>
        <d v="2024-06-30T00:00:00Z"/>
        <d v="2024-07-31T00:00:00Z"/>
        <d v="2024-08-31T00:00:00Z"/>
        <d v="2024-09-30T00:00:00Z"/>
        <d v="2024-10-31T00:00:00Z"/>
        <d v="2024-11-30T00:00:00Z"/>
        <d v="2024-12-31T00:00:00Z"/>
        <m/>
      </sharedItems>
    </cacheField>
    <cacheField name="Produto" numFmtId="0">
      <sharedItems containsBlank="1">
        <s v="Monitor"/>
        <s v="Notebook"/>
        <s v="Headset"/>
        <s v="Teclado"/>
        <s v="Impressora"/>
        <s v="Mouse"/>
        <m/>
      </sharedItems>
    </cacheField>
    <cacheField name="Categoria" numFmtId="0">
      <sharedItems containsBlank="1">
        <s v="Eletrônicos"/>
        <s v="Acessórios"/>
        <m/>
      </sharedItems>
    </cacheField>
    <cacheField name="Vendedor" numFmtId="0">
      <sharedItems containsBlank="1">
        <s v="Mariana"/>
        <s v="Ana"/>
        <s v="João"/>
        <s v="Carlos"/>
        <m/>
      </sharedItems>
    </cacheField>
    <cacheField name="Região" numFmtId="0">
      <sharedItems containsBlank="1">
        <s v="Centro-Oeste"/>
        <s v="Sudeste"/>
        <s v="Sul"/>
        <s v="Nordeste"/>
        <m/>
      </sharedItems>
    </cacheField>
    <cacheField name="Quantidade" numFmtId="0">
      <sharedItems containsString="0" containsBlank="1" containsNumber="1" containsInteger="1">
        <n v="11.0"/>
        <n v="10.0"/>
        <n v="9.0"/>
        <n v="2.0"/>
        <n v="15.0"/>
        <n v="13.0"/>
        <n v="4.0"/>
        <n v="14.0"/>
        <n v="6.0"/>
        <n v="5.0"/>
        <n v="7.0"/>
        <n v="1.0"/>
        <n v="12.0"/>
        <n v="3.0"/>
        <n v="8.0"/>
        <m/>
      </sharedItems>
    </cacheField>
    <cacheField name="Preço Unitário" numFmtId="165">
      <sharedItems containsString="0" containsBlank="1" containsNumber="1" containsInteger="1">
        <n v="1180.0"/>
        <n v="1110.0"/>
        <n v="3583.0"/>
        <n v="195.0"/>
        <n v="1117.0"/>
        <n v="137.0"/>
        <n v="146.0"/>
        <n v="1124.0"/>
        <n v="3591.0"/>
        <n v="943.0"/>
        <n v="3769.0"/>
        <n v="1196.0"/>
        <n v="1271.0"/>
        <n v="201.0"/>
        <n v="1137.0"/>
        <n v="1464.0"/>
        <n v="1499.0"/>
        <n v="60.0"/>
        <n v="1252.0"/>
        <n v="70.0"/>
        <n v="1289.0"/>
        <n v="971.0"/>
        <n v="256.0"/>
        <n v="250.0"/>
        <n v="3704.0"/>
        <n v="142.0"/>
        <n v="1178.0"/>
        <n v="248.0"/>
        <n v="147.0"/>
        <n v="138.0"/>
        <n v="152.0"/>
        <n v="1451.0"/>
        <n v="192.0"/>
        <n v="1215.0"/>
        <n v="90.0"/>
        <n v="1159.0"/>
        <n v="1016.0"/>
        <n v="63.0"/>
        <n v="1247.0"/>
        <n v="3559.0"/>
        <n v="3750.0"/>
        <n v="73.0"/>
        <n v="3524.0"/>
        <n v="3657.0"/>
        <n v="78.0"/>
        <n v="3468.0"/>
        <n v="89.0"/>
        <n v="233.0"/>
        <n v="80.0"/>
        <n v="3700.0"/>
        <n v="187.0"/>
        <n v="1440.0"/>
        <n v="162.0"/>
        <n v="1250.0"/>
        <n v="1288.0"/>
        <n v="254.0"/>
        <n v="215.0"/>
        <n v="922.0"/>
        <n v="1287.0"/>
        <n v="1036.0"/>
        <n v="1173.0"/>
        <n v="198.0"/>
        <n v="260.0"/>
        <n v="3539.0"/>
        <n v="3653.0"/>
        <n v="1174.0"/>
        <n v="3658.0"/>
        <n v="3541.0"/>
        <n v="81.0"/>
        <n v="75.0"/>
        <n v="3720.0"/>
        <n v="3614.0"/>
        <n v="184.0"/>
        <n v="967.0"/>
        <n v="3734.0"/>
        <n v="151.0"/>
        <n v="3553.0"/>
        <n v="228.0"/>
        <n v="153.0"/>
        <n v="180.0"/>
        <n v="1350.0"/>
        <n v="1462.0"/>
        <n v="166.0"/>
        <n v="236.0"/>
        <n v="1334.0"/>
        <n v="1290.0"/>
        <n v="1101.0"/>
        <n v="3520.0"/>
        <n v="185.0"/>
        <n v="69.0"/>
        <n v="124.0"/>
        <n v="170.0"/>
        <n v="71.0"/>
        <n v="68.0"/>
        <n v="1009.0"/>
        <n v="149.0"/>
        <n v="970.0"/>
        <n v="1164.0"/>
        <n v="125.0"/>
        <n v="1151.0"/>
        <n v="1212.0"/>
        <n v="216.0"/>
        <n v="139.0"/>
        <n v="249.0"/>
        <n v="132.0"/>
        <n v="1218.0"/>
        <n v="1127.0"/>
        <n v="77.0"/>
        <n v="1487.0"/>
        <n v="1296.0"/>
        <n v="3789.0"/>
        <n v="3784.0"/>
        <n v="1223.0"/>
        <n v="130.0"/>
        <n v="1259.0"/>
        <n v="3422.0"/>
        <n v="1158.0"/>
        <n v="1396.0"/>
        <n v="1479.0"/>
        <n v="1370.0"/>
        <n v="65.0"/>
        <n v="126.0"/>
        <n v="61.0"/>
        <n v="169.0"/>
        <n v="3715.0"/>
        <n v="3793.0"/>
        <n v="1458.0"/>
        <n v="1042.0"/>
        <n v="3637.0"/>
        <n v="3711.0"/>
        <n v="163.0"/>
        <n v="3542.0"/>
        <n v="3429.0"/>
        <n v="1114.0"/>
        <n v="1111.0"/>
        <n v="161.0"/>
        <n v="930.0"/>
        <n v="1061.0"/>
        <n v="167.0"/>
        <n v="135.0"/>
        <n v="183.0"/>
        <n v="1263.0"/>
        <n v="952.0"/>
        <n v="121.0"/>
        <n v="1277.0"/>
        <n v="1142.0"/>
        <n v="1118.0"/>
        <n v="1249.0"/>
        <n v="1008.0"/>
        <n v="245.0"/>
        <n v="3487.0"/>
        <n v="950.0"/>
        <n v="1106.0"/>
        <n v="85.0"/>
        <n v="129.0"/>
        <n v="1270.0"/>
        <n v="3518.0"/>
        <n v="1276.0"/>
        <n v="173.0"/>
        <n v="122.0"/>
        <n v="88.0"/>
        <n v="199.0"/>
        <n v="1340.0"/>
        <n v="204.0"/>
        <n v="67.0"/>
        <n v="232.0"/>
        <n v="3511.0"/>
        <n v="207.0"/>
        <n v="156.0"/>
        <n v="1267.0"/>
        <n v="1113.0"/>
        <n v="223.0"/>
        <n v="1474.0"/>
        <n v="1297.0"/>
        <n v="1139.0"/>
        <n v="120.0"/>
        <n v="965.0"/>
        <n v="1225.0"/>
        <n v="1226.0"/>
        <n v="87.0"/>
        <n v="181.0"/>
        <n v="1265.0"/>
        <n v="1343.0"/>
        <n v="3510.0"/>
        <n v="1044.0"/>
        <n v="143.0"/>
        <n v="1283.0"/>
        <n v="1123.0"/>
        <n v="1293.0"/>
        <n v="247.0"/>
        <n v="1193.0"/>
        <n v="136.0"/>
        <n v="1294.0"/>
        <n v="206.0"/>
        <n v="174.0"/>
        <n v="1186.0"/>
        <n v="1121.0"/>
        <n v="1156.0"/>
        <n v="1302.0"/>
        <m/>
      </sharedItems>
    </cacheField>
    <cacheField name="Receita" numFmtId="165">
      <sharedItems containsString="0" containsBlank="1" containsNumber="1" containsInteger="1">
        <n v="12980.0"/>
        <n v="11100.0"/>
        <n v="32247.0"/>
        <n v="390.0"/>
        <n v="16755.0"/>
        <n v="1507.0"/>
        <n v="1898.0"/>
        <n v="12364.0"/>
        <n v="14364.0"/>
        <n v="8487.0"/>
        <n v="52766.0"/>
        <n v="7176.0"/>
        <n v="2542.0"/>
        <n v="2010.0"/>
        <n v="2274.0"/>
        <n v="7320.0"/>
        <n v="2998.0"/>
        <n v="540.0"/>
        <n v="18780.0"/>
        <n v="980.0"/>
        <n v="16757.0"/>
        <n v="6797.0"/>
        <n v="2044.0"/>
        <n v="256.0"/>
        <n v="2750.0"/>
        <n v="14816.0"/>
        <n v="994.0"/>
        <n v="15314.0"/>
        <n v="1240.0"/>
        <n v="1764.0"/>
        <n v="414.0"/>
        <n v="2280.0"/>
        <n v="21765.0"/>
        <n v="1536.0"/>
        <n v="15795.0"/>
        <n v="9272.0"/>
        <n v="12192.0"/>
        <n v="693.0"/>
        <n v="12470.0"/>
        <n v="21354.0"/>
        <n v="41250.0"/>
        <n v="1095.0"/>
        <n v="52860.0"/>
        <n v="876.0"/>
        <n v="29256.0"/>
        <n v="17340.0"/>
        <n v="445.0"/>
        <n v="2330.0"/>
        <n v="480.0"/>
        <n v="7400.0"/>
        <n v="935.0"/>
        <n v="11520.0"/>
        <n v="2268.0"/>
        <n v="18750.0"/>
        <n v="11592.0"/>
        <n v="1016.0"/>
        <n v="2365.0"/>
        <n v="10142.0"/>
        <n v="15444.0"/>
        <n v="13468.0"/>
        <n v="7038.0"/>
        <n v="198.0"/>
        <n v="2340.0"/>
        <n v="42468.0"/>
        <n v="21918.0"/>
        <n v="8218.0"/>
        <n v="29264.0"/>
        <n v="42492.0"/>
        <n v="648.0"/>
        <n v="1242.0"/>
        <n v="75.0"/>
        <n v="624.0"/>
        <n v="18600.0"/>
        <n v="975.0"/>
        <n v="39754.0"/>
        <n v="736.0"/>
        <n v="560.0"/>
        <n v="9670.0"/>
        <n v="1911.0"/>
        <n v="56010.0"/>
        <n v="604.0"/>
        <n v="24871.0"/>
        <n v="3192.0"/>
        <n v="1096.0"/>
        <n v="1989.0"/>
        <n v="1620.0"/>
        <n v="17550.0"/>
        <n v="146.0"/>
        <n v="7310.0"/>
        <n v="498.0"/>
        <n v="2360.0"/>
        <n v="17342.0"/>
        <n v="10320.0"/>
        <n v="8808.0"/>
        <n v="14080.0"/>
        <n v="2220.0"/>
        <n v="276.0"/>
        <n v="992.0"/>
        <n v="1190.0"/>
        <n v="781.0"/>
        <n v="2431.0"/>
        <n v="884.0"/>
        <n v="15135.0"/>
        <n v="149.0"/>
        <n v="621.0"/>
        <n v="184.0"/>
        <n v="630.0"/>
        <n v="970.0"/>
        <n v="8148.0"/>
        <n v="1500.0"/>
        <n v="13812.0"/>
        <n v="3636.0"/>
        <n v="216.0"/>
        <n v="142.0"/>
        <n v="1250.0"/>
        <n v="840.0"/>
        <n v="1110.0"/>
        <n v="1529.0"/>
        <n v="2241.0"/>
        <n v="264.0"/>
        <n v="9744.0"/>
        <n v="3381.0"/>
        <n v="544.0"/>
        <n v="539.0"/>
        <n v="7435.0"/>
        <n v="14256.0"/>
        <n v="49257.0"/>
        <n v="56760.0"/>
        <n v="12230.0"/>
        <n v="910.0"/>
        <n v="12590.0"/>
        <n v="23954.0"/>
        <n v="12914.0"/>
        <n v="3474.0"/>
        <n v="15356.0"/>
        <n v="16269.0"/>
        <n v="4110.0"/>
        <n v="650.0"/>
        <n v="5550.0"/>
        <n v="610.0"/>
        <n v="338.0"/>
        <n v="29720.0"/>
        <n v="56895.0"/>
        <n v="8748.0"/>
        <n v="14588.0"/>
        <n v="32733.0"/>
        <n v="14844.0"/>
        <n v="163.0"/>
        <n v="3542.0"/>
        <n v="48006.0"/>
        <n v="744.0"/>
        <n v="1114.0"/>
        <n v="11110.0"/>
        <n v="805.0"/>
        <n v="567.0"/>
        <n v="12090.0"/>
        <n v="9549.0"/>
        <n v="1169.0"/>
        <n v="549.0"/>
        <n v="16419.0"/>
        <n v="952.0"/>
        <n v="1815.0"/>
        <n v="14047.0"/>
        <n v="1848.0"/>
        <n v="3426.0"/>
        <n v="5590.0"/>
        <n v="9992.0"/>
        <n v="14112.0"/>
        <n v="2205.0"/>
        <n v="1560.0"/>
        <n v="1728.0"/>
        <n v="10461.0"/>
        <n v="8113.0"/>
        <n v="10450.0"/>
        <n v="8848.0"/>
        <n v="1992.0"/>
        <n v="1290.0"/>
        <n v="7620.0"/>
        <n v="17590.0"/>
        <n v="14036.0"/>
        <n v="692.0"/>
        <n v="438.0"/>
        <n v="2985.0"/>
        <n v="2680.0"/>
        <n v="847.0"/>
        <n v="3060.0"/>
        <n v="670.0"/>
        <n v="232.0"/>
        <n v="38621.0"/>
        <n v="1449.0"/>
        <n v="468.0"/>
        <n v="2691.0"/>
        <n v="11403.0"/>
        <n v="5565.0"/>
        <n v="2899.0"/>
        <n v="11792.0"/>
        <n v="378.0"/>
        <n v="6485.0"/>
        <n v="9112.0"/>
        <n v="720.0"/>
        <n v="9650.0"/>
        <n v="1040.0"/>
        <n v="748.0"/>
        <n v="7350.0"/>
        <n v="7356.0"/>
        <n v="957.0"/>
        <n v="1448.0"/>
        <n v="15180.0"/>
        <n v="12087.0"/>
        <n v="42120.0"/>
        <n v="284.0"/>
        <n v="8352.0"/>
        <n v="1716.0"/>
        <n v="7698.0"/>
        <n v="243.0"/>
        <n v="1211.0"/>
        <n v="13476.0"/>
        <n v="18102.0"/>
        <n v="1235.0"/>
        <n v="16702.0"/>
        <n v="8890.0"/>
        <n v="2040.0"/>
        <n v="15528.0"/>
        <n v="824.0"/>
        <n v="2088.0"/>
        <n v="11860.0"/>
        <n v="2242.0"/>
        <n v="9248.0"/>
        <n v="1302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41" sheet="vendas"/>
  </cacheSource>
  <cacheFields>
    <cacheField name="Data" numFmtId="164">
      <sharedItems containsSemiMixedTypes="0" containsDate="1" containsString="0">
        <d v="2024-01-02T00:00:00Z"/>
        <d v="2024-01-03T00:00:00Z"/>
        <d v="2024-01-04T00:00:00Z"/>
        <d v="2024-01-07T00:00:00Z"/>
        <d v="2024-01-10T00:00:00Z"/>
        <d v="2024-01-13T00:00:00Z"/>
        <d v="2024-01-14T00:00:00Z"/>
        <d v="2024-01-15T00:00:00Z"/>
        <d v="2024-01-17T00:00:00Z"/>
        <d v="2024-01-19T00:00:00Z"/>
        <d v="2024-01-21T00:00:00Z"/>
        <d v="2024-01-22T00:00:00Z"/>
        <d v="2024-01-26T00:00:00Z"/>
        <d v="2024-01-27T00:00:00Z"/>
        <d v="2024-01-28T00:00:00Z"/>
        <d v="2024-02-01T00:00:00Z"/>
        <d v="2024-02-03T00:00:00Z"/>
        <d v="2024-02-04T00:00:00Z"/>
        <d v="2024-02-05T00:00:00Z"/>
        <d v="2024-02-07T00:00:00Z"/>
        <d v="2024-02-09T00:00:00Z"/>
        <d v="2024-02-10T00:00:00Z"/>
        <d v="2024-02-12T00:00:00Z"/>
        <d v="2024-02-13T00:00:00Z"/>
        <d v="2024-02-19T00:00:00Z"/>
        <d v="2024-02-24T00:00:00Z"/>
        <d v="2024-02-26T00:00:00Z"/>
        <d v="2024-02-27T00:00:00Z"/>
        <d v="2024-02-29T00:00:00Z"/>
        <d v="2024-03-01T00:00:00Z"/>
        <d v="2024-03-02T00:00:00Z"/>
        <d v="2024-03-04T00:00:00Z"/>
        <d v="2024-03-06T00:00:00Z"/>
        <d v="2024-03-07T00:00:00Z"/>
        <d v="2024-03-09T00:00:00Z"/>
        <d v="2024-03-13T00:00:00Z"/>
        <d v="2024-03-19T00:00:00Z"/>
        <d v="2024-03-20T00:00:00Z"/>
        <d v="2024-03-21T00:00:00Z"/>
        <d v="2024-03-22T00:00:00Z"/>
        <d v="2024-03-26T00:00:00Z"/>
        <d v="2024-03-27T00:00:00Z"/>
        <d v="2024-03-29T00:00:00Z"/>
        <d v="2024-03-30T00:00:00Z"/>
        <d v="2024-04-01T00:00:00Z"/>
        <d v="2024-04-02T00:00:00Z"/>
        <d v="2024-04-09T00:00:00Z"/>
        <d v="2024-04-10T00:00:00Z"/>
        <d v="2024-04-11T00:00:00Z"/>
        <d v="2024-04-13T00:00:00Z"/>
        <d v="2024-04-15T00:00:00Z"/>
        <d v="2024-04-17T00:00:00Z"/>
        <d v="2024-04-19T00:00:00Z"/>
        <d v="2024-04-20T00:00:00Z"/>
        <d v="2024-04-21T00:00:00Z"/>
        <d v="2024-04-25T00:00:00Z"/>
        <d v="2024-04-29T00:00:00Z"/>
        <d v="2024-04-30T00:00:00Z"/>
        <d v="2024-05-01T00:00:00Z"/>
        <d v="2024-05-03T00:00:00Z"/>
        <d v="2024-05-05T00:00:00Z"/>
        <d v="2024-05-06T00:00:00Z"/>
        <d v="2024-05-07T00:00:00Z"/>
        <d v="2024-05-09T00:00:00Z"/>
        <d v="2024-05-13T00:00:00Z"/>
        <d v="2024-05-18T00:00:00Z"/>
        <d v="2024-05-19T00:00:00Z"/>
        <d v="2024-05-20T00:00:00Z"/>
        <d v="2024-05-21T00:00:00Z"/>
        <d v="2024-05-22T00:00:00Z"/>
        <d v="2024-05-23T00:00:00Z"/>
        <d v="2024-05-25T00:00:00Z"/>
        <d v="2024-05-26T00:00:00Z"/>
        <d v="2024-05-28T00:00:00Z"/>
        <d v="2024-05-29T00:00:00Z"/>
        <d v="2024-06-05T00:00:00Z"/>
        <d v="2024-06-07T00:00:00Z"/>
        <d v="2024-06-09T00:00:00Z"/>
        <d v="2024-06-12T00:00:00Z"/>
        <d v="2024-06-15T00:00:00Z"/>
        <d v="2024-06-16T00:00:00Z"/>
        <d v="2024-06-17T00:00:00Z"/>
        <d v="2024-06-18T00:00:00Z"/>
        <d v="2024-06-23T00:00:00Z"/>
        <d v="2024-06-24T00:00:00Z"/>
        <d v="2024-06-26T00:00:00Z"/>
        <d v="2024-06-28T00:00:00Z"/>
        <d v="2024-06-29T00:00:00Z"/>
        <d v="2024-07-04T00:00:00Z"/>
        <d v="2024-07-05T00:00:00Z"/>
        <d v="2024-07-06T00:00:00Z"/>
        <d v="2024-07-09T00:00:00Z"/>
        <d v="2024-07-10T00:00:00Z"/>
        <d v="2024-07-12T00:00:00Z"/>
        <d v="2024-07-15T00:00:00Z"/>
        <d v="2024-07-16T00:00:00Z"/>
        <d v="2024-07-17T00:00:00Z"/>
        <d v="2024-07-19T00:00:00Z"/>
        <d v="2024-07-20T00:00:00Z"/>
        <d v="2024-07-21T00:00:00Z"/>
        <d v="2024-07-22T00:00:00Z"/>
        <d v="2024-07-24T00:00:00Z"/>
        <d v="2024-07-26T00:00:00Z"/>
        <d v="2024-07-27T00:00:00Z"/>
        <d v="2024-07-28T00:00:00Z"/>
        <d v="2024-07-29T00:00:00Z"/>
        <d v="2024-07-30T00:00:00Z"/>
        <d v="2024-07-31T00:00:00Z"/>
        <d v="2024-08-02T00:00:00Z"/>
        <d v="2024-08-04T00:00:00Z"/>
        <d v="2024-08-06T00:00:00Z"/>
        <d v="2024-08-07T00:00:00Z"/>
        <d v="2024-08-08T00:00:00Z"/>
        <d v="2024-08-16T00:00:00Z"/>
        <d v="2024-08-19T00:00:00Z"/>
        <d v="2024-08-20T00:00:00Z"/>
        <d v="2024-08-21T00:00:00Z"/>
        <d v="2024-08-24T00:00:00Z"/>
        <d v="2024-08-26T00:00:00Z"/>
        <d v="2024-08-27T00:00:00Z"/>
        <d v="2024-08-28T00:00:00Z"/>
        <d v="2024-08-31T00:00:00Z"/>
        <d v="2024-09-01T00:00:00Z"/>
        <d v="2024-09-05T00:00:00Z"/>
        <d v="2024-09-08T00:00:00Z"/>
        <d v="2024-09-10T00:00:00Z"/>
        <d v="2024-09-12T00:00:00Z"/>
        <d v="2024-09-13T00:00:00Z"/>
        <d v="2024-09-14T00:00:00Z"/>
        <d v="2024-09-16T00:00:00Z"/>
        <d v="2024-09-17T00:00:00Z"/>
        <d v="2024-09-19T00:00:00Z"/>
        <d v="2024-09-20T00:00:00Z"/>
        <d v="2024-09-21T00:00:00Z"/>
        <d v="2024-09-24T00:00:00Z"/>
        <d v="2024-09-26T00:00:00Z"/>
        <d v="2024-09-27T00:00:00Z"/>
        <d v="2024-09-30T00:00:00Z"/>
        <d v="2024-10-06T00:00:00Z"/>
        <d v="2024-10-08T00:00:00Z"/>
        <d v="2024-10-11T00:00:00Z"/>
        <d v="2024-10-12T00:00:00Z"/>
        <d v="2024-10-16T00:00:00Z"/>
        <d v="2024-10-18T00:00:00Z"/>
        <d v="2024-10-22T00:00:00Z"/>
        <d v="2024-10-24T00:00:00Z"/>
        <d v="2024-10-25T00:00:00Z"/>
        <d v="2024-10-27T00:00:00Z"/>
        <d v="2024-10-28T00:00:00Z"/>
        <d v="2024-10-30T00:00:00Z"/>
        <d v="2024-11-01T00:00:00Z"/>
        <d v="2024-11-02T00:00:00Z"/>
        <d v="2024-11-06T00:00:00Z"/>
        <d v="2024-11-07T00:00:00Z"/>
        <d v="2024-11-09T00:00:00Z"/>
        <d v="2024-11-12T00:00:00Z"/>
        <d v="2024-11-14T00:00:00Z"/>
        <d v="2024-11-15T00:00:00Z"/>
        <d v="2024-11-16T00:00:00Z"/>
        <d v="2024-11-20T00:00:00Z"/>
        <d v="2024-11-22T00:00:00Z"/>
        <d v="2024-11-23T00:00:00Z"/>
        <d v="2024-11-24T00:00:00Z"/>
        <d v="2024-11-26T00:00:00Z"/>
        <d v="2024-11-27T00:00:00Z"/>
        <d v="2024-11-28T00:00:00Z"/>
        <d v="2024-11-30T00:00:00Z"/>
        <d v="2024-12-04T00:00:00Z"/>
        <d v="2024-12-07T00:00:00Z"/>
        <d v="2024-12-12T00:00:00Z"/>
        <d v="2024-12-15T00:00:00Z"/>
        <d v="2024-12-21T00:00:00Z"/>
        <d v="2024-12-24T00:00:00Z"/>
        <d v="2024-12-25T00:00:00Z"/>
        <d v="2024-12-26T00:00:00Z"/>
        <d v="2024-12-27T00:00:00Z"/>
        <d v="2024-12-28T00:00:00Z"/>
        <d v="2024-12-29T00:00:00Z"/>
      </sharedItems>
    </cacheField>
    <cacheField name="Mês" numFmtId="14">
      <sharedItems containsSemiMixedTypes="0" containsDate="1" containsString="0">
        <d v="2024-01-31T00:00:00Z"/>
        <d v="2024-02-29T00:00:00Z"/>
        <d v="2024-03-31T00:00:00Z"/>
        <d v="2024-04-30T00:00:00Z"/>
        <d v="2024-05-31T00:00:00Z"/>
        <d v="2024-06-30T00:00:00Z"/>
        <d v="2024-07-31T00:00:00Z"/>
        <d v="2024-08-31T00:00:00Z"/>
        <d v="2024-09-30T00:00:00Z"/>
        <d v="2024-10-31T00:00:00Z"/>
        <d v="2024-11-30T00:00:00Z"/>
        <d v="2024-12-31T00:00:00Z"/>
      </sharedItems>
    </cacheField>
    <cacheField name="Produto" numFmtId="0">
      <sharedItems>
        <s v="Monitor"/>
        <s v="Notebook"/>
        <s v="Headset"/>
        <s v="Teclado"/>
        <s v="Impressora"/>
        <s v="Mouse"/>
      </sharedItems>
    </cacheField>
    <cacheField name="Categoria" numFmtId="0">
      <sharedItems>
        <s v="Eletrônicos"/>
        <s v="Acessórios"/>
      </sharedItems>
    </cacheField>
    <cacheField name="Vendedor" numFmtId="0">
      <sharedItems>
        <s v="Mariana"/>
        <s v="Ana"/>
        <s v="João"/>
        <s v="Carlos"/>
      </sharedItems>
    </cacheField>
    <cacheField name="Região" numFmtId="0">
      <sharedItems>
        <s v="Centro-Oeste"/>
        <s v="Sudeste"/>
        <s v="Sul"/>
        <s v="Nordeste"/>
      </sharedItems>
    </cacheField>
    <cacheField name="Quantidade" numFmtId="0">
      <sharedItems containsSemiMixedTypes="0" containsString="0" containsNumber="1" containsInteger="1">
        <n v="11.0"/>
        <n v="10.0"/>
        <n v="9.0"/>
        <n v="2.0"/>
        <n v="15.0"/>
        <n v="13.0"/>
        <n v="4.0"/>
        <n v="14.0"/>
        <n v="6.0"/>
        <n v="5.0"/>
        <n v="7.0"/>
        <n v="1.0"/>
        <n v="12.0"/>
        <n v="3.0"/>
        <n v="8.0"/>
      </sharedItems>
    </cacheField>
    <cacheField name="Preço Unitário" numFmtId="165">
      <sharedItems containsSemiMixedTypes="0" containsString="0" containsNumber="1" containsInteger="1">
        <n v="1180.0"/>
        <n v="1110.0"/>
        <n v="3583.0"/>
        <n v="195.0"/>
        <n v="1117.0"/>
        <n v="137.0"/>
        <n v="146.0"/>
        <n v="1124.0"/>
        <n v="3591.0"/>
        <n v="943.0"/>
        <n v="3769.0"/>
        <n v="1196.0"/>
        <n v="1271.0"/>
        <n v="201.0"/>
        <n v="1137.0"/>
        <n v="1464.0"/>
        <n v="1499.0"/>
        <n v="60.0"/>
        <n v="1252.0"/>
        <n v="70.0"/>
        <n v="1289.0"/>
        <n v="971.0"/>
        <n v="256.0"/>
        <n v="250.0"/>
        <n v="3704.0"/>
        <n v="142.0"/>
        <n v="1178.0"/>
        <n v="248.0"/>
        <n v="147.0"/>
        <n v="138.0"/>
        <n v="152.0"/>
        <n v="1451.0"/>
        <n v="192.0"/>
        <n v="1215.0"/>
        <n v="90.0"/>
        <n v="1159.0"/>
        <n v="1016.0"/>
        <n v="63.0"/>
        <n v="1247.0"/>
        <n v="3559.0"/>
        <n v="3750.0"/>
        <n v="73.0"/>
        <n v="3524.0"/>
        <n v="3657.0"/>
        <n v="78.0"/>
        <n v="3468.0"/>
        <n v="89.0"/>
        <n v="233.0"/>
        <n v="80.0"/>
        <n v="3700.0"/>
        <n v="187.0"/>
        <n v="1440.0"/>
        <n v="162.0"/>
        <n v="1250.0"/>
        <n v="1288.0"/>
        <n v="254.0"/>
        <n v="215.0"/>
        <n v="922.0"/>
        <n v="1287.0"/>
        <n v="1036.0"/>
        <n v="1173.0"/>
        <n v="198.0"/>
        <n v="260.0"/>
        <n v="3539.0"/>
        <n v="3653.0"/>
        <n v="1174.0"/>
        <n v="3658.0"/>
        <n v="3541.0"/>
        <n v="81.0"/>
        <n v="75.0"/>
        <n v="3720.0"/>
        <n v="3614.0"/>
        <n v="184.0"/>
        <n v="967.0"/>
        <n v="3734.0"/>
        <n v="151.0"/>
        <n v="3553.0"/>
        <n v="228.0"/>
        <n v="153.0"/>
        <n v="180.0"/>
        <n v="1350.0"/>
        <n v="1462.0"/>
        <n v="166.0"/>
        <n v="236.0"/>
        <n v="1334.0"/>
        <n v="1290.0"/>
        <n v="1101.0"/>
        <n v="3520.0"/>
        <n v="185.0"/>
        <n v="69.0"/>
        <n v="124.0"/>
        <n v="170.0"/>
        <n v="71.0"/>
        <n v="68.0"/>
        <n v="1009.0"/>
        <n v="149.0"/>
        <n v="970.0"/>
        <n v="1164.0"/>
        <n v="125.0"/>
        <n v="1151.0"/>
        <n v="1212.0"/>
        <n v="216.0"/>
        <n v="139.0"/>
        <n v="249.0"/>
        <n v="132.0"/>
        <n v="1218.0"/>
        <n v="1127.0"/>
        <n v="77.0"/>
        <n v="1487.0"/>
        <n v="1296.0"/>
        <n v="3789.0"/>
        <n v="3784.0"/>
        <n v="1223.0"/>
        <n v="130.0"/>
        <n v="1259.0"/>
        <n v="3422.0"/>
        <n v="1158.0"/>
        <n v="1396.0"/>
        <n v="1479.0"/>
        <n v="1370.0"/>
        <n v="65.0"/>
        <n v="126.0"/>
        <n v="61.0"/>
        <n v="169.0"/>
        <n v="3715.0"/>
        <n v="3793.0"/>
        <n v="1458.0"/>
        <n v="1042.0"/>
        <n v="3637.0"/>
        <n v="3711.0"/>
        <n v="163.0"/>
        <n v="3542.0"/>
        <n v="3429.0"/>
        <n v="1114.0"/>
        <n v="1111.0"/>
        <n v="161.0"/>
        <n v="930.0"/>
        <n v="1061.0"/>
        <n v="167.0"/>
        <n v="135.0"/>
        <n v="183.0"/>
        <n v="1263.0"/>
        <n v="952.0"/>
        <n v="121.0"/>
        <n v="1277.0"/>
        <n v="1142.0"/>
        <n v="1118.0"/>
        <n v="1249.0"/>
        <n v="1008.0"/>
        <n v="245.0"/>
        <n v="3487.0"/>
        <n v="950.0"/>
        <n v="1106.0"/>
        <n v="85.0"/>
        <n v="129.0"/>
        <n v="1270.0"/>
        <n v="3518.0"/>
        <n v="1276.0"/>
        <n v="173.0"/>
        <n v="122.0"/>
        <n v="88.0"/>
        <n v="199.0"/>
        <n v="1340.0"/>
        <n v="204.0"/>
        <n v="67.0"/>
        <n v="232.0"/>
        <n v="3511.0"/>
        <n v="207.0"/>
        <n v="156.0"/>
        <n v="1267.0"/>
        <n v="1113.0"/>
        <n v="223.0"/>
        <n v="1474.0"/>
        <n v="1297.0"/>
        <n v="1139.0"/>
        <n v="120.0"/>
        <n v="965.0"/>
        <n v="1225.0"/>
        <n v="1226.0"/>
        <n v="87.0"/>
        <n v="181.0"/>
        <n v="1265.0"/>
        <n v="1343.0"/>
        <n v="3510.0"/>
        <n v="1044.0"/>
        <n v="143.0"/>
        <n v="1283.0"/>
        <n v="1123.0"/>
        <n v="1293.0"/>
        <n v="247.0"/>
        <n v="1193.0"/>
        <n v="136.0"/>
        <n v="1294.0"/>
        <n v="206.0"/>
        <n v="174.0"/>
        <n v="1186.0"/>
        <n v="1121.0"/>
        <n v="1156.0"/>
        <n v="1302.0"/>
      </sharedItems>
    </cacheField>
    <cacheField name="Receita" numFmtId="165">
      <sharedItems containsSemiMixedTypes="0" containsString="0" containsNumber="1" containsInteger="1">
        <n v="12980.0"/>
        <n v="11100.0"/>
        <n v="32247.0"/>
        <n v="390.0"/>
        <n v="16755.0"/>
        <n v="1507.0"/>
        <n v="1898.0"/>
        <n v="12364.0"/>
        <n v="14364.0"/>
        <n v="8487.0"/>
        <n v="52766.0"/>
        <n v="7176.0"/>
        <n v="2542.0"/>
        <n v="2010.0"/>
        <n v="2274.0"/>
        <n v="7320.0"/>
        <n v="2998.0"/>
        <n v="540.0"/>
        <n v="18780.0"/>
        <n v="980.0"/>
        <n v="16757.0"/>
        <n v="6797.0"/>
        <n v="2044.0"/>
        <n v="256.0"/>
        <n v="2750.0"/>
        <n v="14816.0"/>
        <n v="994.0"/>
        <n v="15314.0"/>
        <n v="1240.0"/>
        <n v="1764.0"/>
        <n v="414.0"/>
        <n v="2280.0"/>
        <n v="21765.0"/>
        <n v="1536.0"/>
        <n v="15795.0"/>
        <n v="9272.0"/>
        <n v="12192.0"/>
        <n v="693.0"/>
        <n v="12470.0"/>
        <n v="21354.0"/>
        <n v="41250.0"/>
        <n v="1095.0"/>
        <n v="52860.0"/>
        <n v="876.0"/>
        <n v="29256.0"/>
        <n v="17340.0"/>
        <n v="445.0"/>
        <n v="2330.0"/>
        <n v="480.0"/>
        <n v="7400.0"/>
        <n v="935.0"/>
        <n v="11520.0"/>
        <n v="2268.0"/>
        <n v="18750.0"/>
        <n v="11592.0"/>
        <n v="1016.0"/>
        <n v="2365.0"/>
        <n v="10142.0"/>
        <n v="15444.0"/>
        <n v="13468.0"/>
        <n v="7038.0"/>
        <n v="198.0"/>
        <n v="2340.0"/>
        <n v="42468.0"/>
        <n v="21918.0"/>
        <n v="8218.0"/>
        <n v="29264.0"/>
        <n v="42492.0"/>
        <n v="648.0"/>
        <n v="1242.0"/>
        <n v="75.0"/>
        <n v="624.0"/>
        <n v="18600.0"/>
        <n v="975.0"/>
        <n v="39754.0"/>
        <n v="736.0"/>
        <n v="560.0"/>
        <n v="9670.0"/>
        <n v="1911.0"/>
        <n v="56010.0"/>
        <n v="604.0"/>
        <n v="24871.0"/>
        <n v="3192.0"/>
        <n v="1096.0"/>
        <n v="1989.0"/>
        <n v="1620.0"/>
        <n v="17550.0"/>
        <n v="146.0"/>
        <n v="7310.0"/>
        <n v="498.0"/>
        <n v="2360.0"/>
        <n v="17342.0"/>
        <n v="10320.0"/>
        <n v="8808.0"/>
        <n v="14080.0"/>
        <n v="2220.0"/>
        <n v="276.0"/>
        <n v="992.0"/>
        <n v="1190.0"/>
        <n v="781.0"/>
        <n v="2431.0"/>
        <n v="884.0"/>
        <n v="15135.0"/>
        <n v="149.0"/>
        <n v="621.0"/>
        <n v="184.0"/>
        <n v="630.0"/>
        <n v="970.0"/>
        <n v="8148.0"/>
        <n v="1500.0"/>
        <n v="13812.0"/>
        <n v="3636.0"/>
        <n v="216.0"/>
        <n v="142.0"/>
        <n v="1250.0"/>
        <n v="840.0"/>
        <n v="1110.0"/>
        <n v="1529.0"/>
        <n v="2241.0"/>
        <n v="264.0"/>
        <n v="9744.0"/>
        <n v="3381.0"/>
        <n v="544.0"/>
        <n v="539.0"/>
        <n v="7435.0"/>
        <n v="14256.0"/>
        <n v="49257.0"/>
        <n v="56760.0"/>
        <n v="12230.0"/>
        <n v="910.0"/>
        <n v="12590.0"/>
        <n v="23954.0"/>
        <n v="12914.0"/>
        <n v="3474.0"/>
        <n v="15356.0"/>
        <n v="16269.0"/>
        <n v="4110.0"/>
        <n v="650.0"/>
        <n v="5550.0"/>
        <n v="610.0"/>
        <n v="338.0"/>
        <n v="29720.0"/>
        <n v="56895.0"/>
        <n v="8748.0"/>
        <n v="14588.0"/>
        <n v="32733.0"/>
        <n v="14844.0"/>
        <n v="163.0"/>
        <n v="3542.0"/>
        <n v="48006.0"/>
        <n v="744.0"/>
        <n v="1114.0"/>
        <n v="11110.0"/>
        <n v="805.0"/>
        <n v="567.0"/>
        <n v="12090.0"/>
        <n v="9549.0"/>
        <n v="1169.0"/>
        <n v="549.0"/>
        <n v="16419.0"/>
        <n v="952.0"/>
        <n v="1815.0"/>
        <n v="14047.0"/>
        <n v="1848.0"/>
        <n v="3426.0"/>
        <n v="5590.0"/>
        <n v="9992.0"/>
        <n v="14112.0"/>
        <n v="2205.0"/>
        <n v="1560.0"/>
        <n v="1728.0"/>
        <n v="10461.0"/>
        <n v="8113.0"/>
        <n v="10450.0"/>
        <n v="8848.0"/>
        <n v="1992.0"/>
        <n v="1290.0"/>
        <n v="7620.0"/>
        <n v="17590.0"/>
        <n v="14036.0"/>
        <n v="692.0"/>
        <n v="438.0"/>
        <n v="2985.0"/>
        <n v="2680.0"/>
        <n v="847.0"/>
        <n v="3060.0"/>
        <n v="670.0"/>
        <n v="232.0"/>
        <n v="38621.0"/>
        <n v="1449.0"/>
        <n v="468.0"/>
        <n v="2691.0"/>
        <n v="11403.0"/>
        <n v="5565.0"/>
        <n v="2899.0"/>
        <n v="11792.0"/>
        <n v="378.0"/>
        <n v="6485.0"/>
        <n v="9112.0"/>
        <n v="720.0"/>
        <n v="9650.0"/>
        <n v="1040.0"/>
        <n v="748.0"/>
        <n v="7350.0"/>
        <n v="7356.0"/>
        <n v="957.0"/>
        <n v="1448.0"/>
        <n v="15180.0"/>
        <n v="12087.0"/>
        <n v="42120.0"/>
        <n v="284.0"/>
        <n v="8352.0"/>
        <n v="1716.0"/>
        <n v="7698.0"/>
        <n v="243.0"/>
        <n v="1211.0"/>
        <n v="13476.0"/>
        <n v="18102.0"/>
        <n v="1235.0"/>
        <n v="16702.0"/>
        <n v="8890.0"/>
        <n v="2040.0"/>
        <n v="15528.0"/>
        <n v="824.0"/>
        <n v="2088.0"/>
        <n v="11860.0"/>
        <n v="2242.0"/>
        <n v="9248.0"/>
        <n v="130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analises" cacheId="0" dataCaption="" rowGrandTotals="0" compact="0" compactData="0">
  <location ref="A1:B14" firstHeaderRow="0" firstDataRow="1" firstDataCol="0"/>
  <pivotFields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Mês" axis="axisRow" compact="0" numFmtId="14" outline="0" multipleItemSelectionAllowed="1" showAll="0" sortType="ascending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t="default"/>
      </items>
    </pivotField>
    <pivotField name="Vended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ã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Receit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</pivotFields>
  <rowFields>
    <field x="1"/>
  </rowFields>
  <dataFields>
    <dataField name="SUM of Receita" fld="8" baseField="0"/>
  </dataFields>
</pivotTableDefinition>
</file>

<file path=xl/pivotTables/pivotTable2.xml><?xml version="1.0" encoding="utf-8"?>
<pivotTableDefinition xmlns="http://schemas.openxmlformats.org/spreadsheetml/2006/main" name="analises 2" cacheId="1" dataCaption="" compact="0" compactData="0">
  <location ref="D1:E8" firstHeaderRow="0" firstDataRow="1" firstDataCol="0"/>
  <pivotFields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Mês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to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ia" compact="0" outline="0" multipleItemSelectionAllowed="1" showAll="0">
      <items>
        <item x="0"/>
        <item x="1"/>
        <item t="default"/>
      </items>
    </pivotField>
    <pivotField name="Vendedor" compact="0" outline="0" multipleItemSelectionAllowed="1" showAll="0">
      <items>
        <item x="0"/>
        <item x="1"/>
        <item x="2"/>
        <item x="3"/>
        <item t="default"/>
      </items>
    </pivotField>
    <pivotField name="Região" compact="0" outline="0" multipleItemSelectionAllowed="1" showAll="0">
      <items>
        <item x="0"/>
        <item x="1"/>
        <item x="2"/>
        <item x="3"/>
        <item t="default"/>
      </items>
    </pivotField>
    <pivotField name="Quant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Receit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/>
      </items>
    </pivotField>
  </pivotFields>
  <rowFields>
    <field x="2"/>
  </rowFields>
  <dataFields>
    <dataField name="SUM of Receita" fld="8" baseField="0"/>
  </dataFields>
</pivotTableDefinition>
</file>

<file path=xl/pivotTables/pivotTable3.xml><?xml version="1.0" encoding="utf-8"?>
<pivotTableDefinition xmlns="http://schemas.openxmlformats.org/spreadsheetml/2006/main" name="analises 3" cacheId="1" dataCaption="" compact="0" compactData="0">
  <location ref="G1:H6" firstHeaderRow="0" firstDataRow="1" firstDataCol="0"/>
  <pivotFields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Mês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ia" compact="0" outline="0" multipleItemSelectionAllowed="1" showAll="0">
      <items>
        <item x="0"/>
        <item x="1"/>
        <item t="default"/>
      </items>
    </pivotField>
    <pivotField name="Vendedor" axis="axisRow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ão" compact="0" outline="0" multipleItemSelectionAllowed="1" showAll="0">
      <items>
        <item x="0"/>
        <item x="1"/>
        <item x="2"/>
        <item x="3"/>
        <item t="default"/>
      </items>
    </pivotField>
    <pivotField name="Quant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Receit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/>
      </items>
    </pivotField>
  </pivotFields>
  <rowFields>
    <field x="4"/>
  </rowFields>
  <dataFields>
    <dataField name="SUM of Receita" fld="8" baseField="0"/>
  </dataFields>
</pivotTableDefinition>
</file>

<file path=xl/pivotTables/pivotTable4.xml><?xml version="1.0" encoding="utf-8"?>
<pivotTableDefinition xmlns="http://schemas.openxmlformats.org/spreadsheetml/2006/main" name="analises 4" cacheId="1" dataCaption="" compact="0" compactData="0">
  <location ref="J1:K6" firstHeaderRow="0" firstDataRow="1" firstDataCol="0"/>
  <pivotFields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Mês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ia" compact="0" outline="0" multipleItemSelectionAllowed="1" showAll="0">
      <items>
        <item x="0"/>
        <item x="1"/>
        <item t="default"/>
      </items>
    </pivotField>
    <pivotField name="Vendedor" compact="0" outline="0" multipleItemSelectionAllowed="1" showAll="0">
      <items>
        <item x="0"/>
        <item x="1"/>
        <item x="2"/>
        <item x="3"/>
        <item t="default"/>
      </items>
    </pivotField>
    <pivotField name="Região" axis="axisRow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Receit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/>
      </items>
    </pivotField>
  </pivotFields>
  <rowFields>
    <field x="5"/>
  </rowFields>
  <dataFields>
    <dataField name="SUM of Receita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13.13"/>
    <col customWidth="1" min="3" max="4" width="9.25"/>
    <col customWidth="1" min="5" max="5" width="8.38"/>
    <col customWidth="1" min="6" max="6" width="10.88"/>
    <col customWidth="1" min="7" max="7" width="10.0"/>
    <col customWidth="1" min="8" max="8" width="11.88"/>
    <col customWidth="1" min="9" max="9" width="10.75"/>
    <col customWidth="1" min="10" max="27" width="7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</row>
    <row r="2">
      <c r="A2" s="6">
        <v>45293.0</v>
      </c>
      <c r="B2" s="7">
        <f t="shared" ref="B2:B241" si="1">EOMONTH(A2,0)</f>
        <v>45322</v>
      </c>
      <c r="C2" s="8" t="s">
        <v>9</v>
      </c>
      <c r="D2" s="8" t="s">
        <v>10</v>
      </c>
      <c r="E2" s="8" t="s">
        <v>11</v>
      </c>
      <c r="F2" s="8" t="s">
        <v>12</v>
      </c>
      <c r="G2" s="8">
        <v>11.0</v>
      </c>
      <c r="H2" s="9">
        <v>1180.0</v>
      </c>
      <c r="I2" s="9">
        <f t="shared" ref="I2:I241" si="2">G2*H2</f>
        <v>12980</v>
      </c>
    </row>
    <row r="3">
      <c r="A3" s="6">
        <v>45293.0</v>
      </c>
      <c r="B3" s="7">
        <f t="shared" si="1"/>
        <v>45322</v>
      </c>
      <c r="C3" s="8" t="s">
        <v>9</v>
      </c>
      <c r="D3" s="8" t="s">
        <v>10</v>
      </c>
      <c r="E3" s="8" t="s">
        <v>13</v>
      </c>
      <c r="F3" s="8" t="s">
        <v>14</v>
      </c>
      <c r="G3" s="8">
        <v>10.0</v>
      </c>
      <c r="H3" s="9">
        <v>1110.0</v>
      </c>
      <c r="I3" s="9">
        <f t="shared" si="2"/>
        <v>11100</v>
      </c>
    </row>
    <row r="4">
      <c r="A4" s="6">
        <v>45294.0</v>
      </c>
      <c r="B4" s="7">
        <f t="shared" si="1"/>
        <v>45322</v>
      </c>
      <c r="C4" s="8" t="s">
        <v>15</v>
      </c>
      <c r="D4" s="8" t="s">
        <v>10</v>
      </c>
      <c r="E4" s="8" t="s">
        <v>16</v>
      </c>
      <c r="F4" s="8" t="s">
        <v>17</v>
      </c>
      <c r="G4" s="8">
        <v>9.0</v>
      </c>
      <c r="H4" s="9">
        <v>3583.0</v>
      </c>
      <c r="I4" s="9">
        <f t="shared" si="2"/>
        <v>32247</v>
      </c>
    </row>
    <row r="5">
      <c r="A5" s="6">
        <v>45295.0</v>
      </c>
      <c r="B5" s="7">
        <f t="shared" si="1"/>
        <v>45322</v>
      </c>
      <c r="C5" s="8" t="s">
        <v>18</v>
      </c>
      <c r="D5" s="8" t="s">
        <v>19</v>
      </c>
      <c r="E5" s="8" t="s">
        <v>16</v>
      </c>
      <c r="F5" s="8" t="s">
        <v>17</v>
      </c>
      <c r="G5" s="8">
        <v>2.0</v>
      </c>
      <c r="H5" s="9">
        <v>195.0</v>
      </c>
      <c r="I5" s="9">
        <f t="shared" si="2"/>
        <v>390</v>
      </c>
    </row>
    <row r="6">
      <c r="A6" s="6">
        <v>45295.0</v>
      </c>
      <c r="B6" s="7">
        <f t="shared" si="1"/>
        <v>45322</v>
      </c>
      <c r="C6" s="8" t="s">
        <v>9</v>
      </c>
      <c r="D6" s="8" t="s">
        <v>10</v>
      </c>
      <c r="E6" s="8" t="s">
        <v>13</v>
      </c>
      <c r="F6" s="8" t="s">
        <v>17</v>
      </c>
      <c r="G6" s="8">
        <v>15.0</v>
      </c>
      <c r="H6" s="9">
        <v>1117.0</v>
      </c>
      <c r="I6" s="9">
        <f t="shared" si="2"/>
        <v>16755</v>
      </c>
    </row>
    <row r="7">
      <c r="A7" s="6">
        <v>45298.0</v>
      </c>
      <c r="B7" s="7">
        <f t="shared" si="1"/>
        <v>45322</v>
      </c>
      <c r="C7" s="8" t="s">
        <v>20</v>
      </c>
      <c r="D7" s="8" t="s">
        <v>19</v>
      </c>
      <c r="E7" s="8" t="s">
        <v>21</v>
      </c>
      <c r="F7" s="8" t="s">
        <v>14</v>
      </c>
      <c r="G7" s="8">
        <v>11.0</v>
      </c>
      <c r="H7" s="9">
        <v>137.0</v>
      </c>
      <c r="I7" s="9">
        <f t="shared" si="2"/>
        <v>1507</v>
      </c>
    </row>
    <row r="8">
      <c r="A8" s="6">
        <v>45301.0</v>
      </c>
      <c r="B8" s="7">
        <f t="shared" si="1"/>
        <v>45322</v>
      </c>
      <c r="C8" s="8" t="s">
        <v>20</v>
      </c>
      <c r="D8" s="8" t="s">
        <v>19</v>
      </c>
      <c r="E8" s="8" t="s">
        <v>11</v>
      </c>
      <c r="F8" s="8" t="s">
        <v>22</v>
      </c>
      <c r="G8" s="8">
        <v>13.0</v>
      </c>
      <c r="H8" s="9">
        <v>146.0</v>
      </c>
      <c r="I8" s="9">
        <f t="shared" si="2"/>
        <v>1898</v>
      </c>
    </row>
    <row r="9">
      <c r="A9" s="6">
        <v>45304.0</v>
      </c>
      <c r="B9" s="7">
        <f t="shared" si="1"/>
        <v>45322</v>
      </c>
      <c r="C9" s="8" t="s">
        <v>9</v>
      </c>
      <c r="D9" s="8" t="s">
        <v>10</v>
      </c>
      <c r="E9" s="8" t="s">
        <v>11</v>
      </c>
      <c r="F9" s="8" t="s">
        <v>22</v>
      </c>
      <c r="G9" s="8">
        <v>11.0</v>
      </c>
      <c r="H9" s="9">
        <v>1124.0</v>
      </c>
      <c r="I9" s="9">
        <f t="shared" si="2"/>
        <v>12364</v>
      </c>
    </row>
    <row r="10">
      <c r="A10" s="6">
        <v>45305.0</v>
      </c>
      <c r="B10" s="7">
        <f t="shared" si="1"/>
        <v>45322</v>
      </c>
      <c r="C10" s="8" t="s">
        <v>15</v>
      </c>
      <c r="D10" s="8" t="s">
        <v>10</v>
      </c>
      <c r="E10" s="8" t="s">
        <v>13</v>
      </c>
      <c r="F10" s="8" t="s">
        <v>12</v>
      </c>
      <c r="G10" s="8">
        <v>4.0</v>
      </c>
      <c r="H10" s="9">
        <v>3591.0</v>
      </c>
      <c r="I10" s="9">
        <f t="shared" si="2"/>
        <v>14364</v>
      </c>
    </row>
    <row r="11">
      <c r="A11" s="6">
        <v>45306.0</v>
      </c>
      <c r="B11" s="7">
        <f t="shared" si="1"/>
        <v>45322</v>
      </c>
      <c r="C11" s="8" t="s">
        <v>23</v>
      </c>
      <c r="D11" s="8" t="s">
        <v>10</v>
      </c>
      <c r="E11" s="8" t="s">
        <v>13</v>
      </c>
      <c r="F11" s="8" t="s">
        <v>17</v>
      </c>
      <c r="G11" s="8">
        <v>9.0</v>
      </c>
      <c r="H11" s="9">
        <v>943.0</v>
      </c>
      <c r="I11" s="9">
        <f t="shared" si="2"/>
        <v>8487</v>
      </c>
    </row>
    <row r="12">
      <c r="A12" s="6">
        <v>45308.0</v>
      </c>
      <c r="B12" s="7">
        <f t="shared" si="1"/>
        <v>45322</v>
      </c>
      <c r="C12" s="8" t="s">
        <v>15</v>
      </c>
      <c r="D12" s="8" t="s">
        <v>10</v>
      </c>
      <c r="E12" s="8" t="s">
        <v>13</v>
      </c>
      <c r="F12" s="8" t="s">
        <v>14</v>
      </c>
      <c r="G12" s="8">
        <v>14.0</v>
      </c>
      <c r="H12" s="9">
        <v>3769.0</v>
      </c>
      <c r="I12" s="9">
        <f t="shared" si="2"/>
        <v>52766</v>
      </c>
    </row>
    <row r="13">
      <c r="A13" s="6">
        <v>45310.0</v>
      </c>
      <c r="B13" s="7">
        <f t="shared" si="1"/>
        <v>45322</v>
      </c>
      <c r="C13" s="8" t="s">
        <v>9</v>
      </c>
      <c r="D13" s="8" t="s">
        <v>10</v>
      </c>
      <c r="E13" s="8" t="s">
        <v>21</v>
      </c>
      <c r="F13" s="8" t="s">
        <v>12</v>
      </c>
      <c r="G13" s="8">
        <v>6.0</v>
      </c>
      <c r="H13" s="9">
        <v>1196.0</v>
      </c>
      <c r="I13" s="9">
        <f t="shared" si="2"/>
        <v>7176</v>
      </c>
    </row>
    <row r="14">
      <c r="A14" s="6">
        <v>45310.0</v>
      </c>
      <c r="B14" s="7">
        <f t="shared" si="1"/>
        <v>45322</v>
      </c>
      <c r="C14" s="8" t="s">
        <v>9</v>
      </c>
      <c r="D14" s="8" t="s">
        <v>10</v>
      </c>
      <c r="E14" s="8" t="s">
        <v>21</v>
      </c>
      <c r="F14" s="8" t="s">
        <v>22</v>
      </c>
      <c r="G14" s="8">
        <v>2.0</v>
      </c>
      <c r="H14" s="9">
        <v>1271.0</v>
      </c>
      <c r="I14" s="9">
        <f t="shared" si="2"/>
        <v>2542</v>
      </c>
    </row>
    <row r="15">
      <c r="A15" s="6">
        <v>45310.0</v>
      </c>
      <c r="B15" s="7">
        <f t="shared" si="1"/>
        <v>45322</v>
      </c>
      <c r="C15" s="8" t="s">
        <v>18</v>
      </c>
      <c r="D15" s="8" t="s">
        <v>19</v>
      </c>
      <c r="E15" s="8" t="s">
        <v>13</v>
      </c>
      <c r="F15" s="8" t="s">
        <v>22</v>
      </c>
      <c r="G15" s="8">
        <v>10.0</v>
      </c>
      <c r="H15" s="9">
        <v>201.0</v>
      </c>
      <c r="I15" s="9">
        <f t="shared" si="2"/>
        <v>2010</v>
      </c>
    </row>
    <row r="16">
      <c r="A16" s="6">
        <v>45312.0</v>
      </c>
      <c r="B16" s="7">
        <f t="shared" si="1"/>
        <v>45322</v>
      </c>
      <c r="C16" s="8" t="s">
        <v>9</v>
      </c>
      <c r="D16" s="8" t="s">
        <v>10</v>
      </c>
      <c r="E16" s="8" t="s">
        <v>16</v>
      </c>
      <c r="F16" s="8" t="s">
        <v>22</v>
      </c>
      <c r="G16" s="8">
        <v>2.0</v>
      </c>
      <c r="H16" s="9">
        <v>1137.0</v>
      </c>
      <c r="I16" s="9">
        <f t="shared" si="2"/>
        <v>2274</v>
      </c>
    </row>
    <row r="17">
      <c r="A17" s="6">
        <v>45313.0</v>
      </c>
      <c r="B17" s="7">
        <f t="shared" si="1"/>
        <v>45322</v>
      </c>
      <c r="C17" s="8" t="s">
        <v>23</v>
      </c>
      <c r="D17" s="8" t="s">
        <v>10</v>
      </c>
      <c r="E17" s="8" t="s">
        <v>21</v>
      </c>
      <c r="F17" s="8" t="s">
        <v>14</v>
      </c>
      <c r="G17" s="8">
        <v>5.0</v>
      </c>
      <c r="H17" s="9">
        <v>1464.0</v>
      </c>
      <c r="I17" s="9">
        <f t="shared" si="2"/>
        <v>7320</v>
      </c>
    </row>
    <row r="18">
      <c r="A18" s="6">
        <v>45313.0</v>
      </c>
      <c r="B18" s="7">
        <f t="shared" si="1"/>
        <v>45322</v>
      </c>
      <c r="C18" s="8" t="s">
        <v>23</v>
      </c>
      <c r="D18" s="8" t="s">
        <v>10</v>
      </c>
      <c r="E18" s="8" t="s">
        <v>11</v>
      </c>
      <c r="F18" s="8" t="s">
        <v>17</v>
      </c>
      <c r="G18" s="8">
        <v>2.0</v>
      </c>
      <c r="H18" s="9">
        <v>1499.0</v>
      </c>
      <c r="I18" s="9">
        <f t="shared" si="2"/>
        <v>2998</v>
      </c>
    </row>
    <row r="19">
      <c r="A19" s="6">
        <v>45317.0</v>
      </c>
      <c r="B19" s="7">
        <f t="shared" si="1"/>
        <v>45322</v>
      </c>
      <c r="C19" s="8" t="s">
        <v>24</v>
      </c>
      <c r="D19" s="8" t="s">
        <v>19</v>
      </c>
      <c r="E19" s="8" t="s">
        <v>16</v>
      </c>
      <c r="F19" s="8" t="s">
        <v>22</v>
      </c>
      <c r="G19" s="8">
        <v>9.0</v>
      </c>
      <c r="H19" s="9">
        <v>60.0</v>
      </c>
      <c r="I19" s="9">
        <f t="shared" si="2"/>
        <v>540</v>
      </c>
    </row>
    <row r="20">
      <c r="A20" s="6">
        <v>45318.0</v>
      </c>
      <c r="B20" s="7">
        <f t="shared" si="1"/>
        <v>45322</v>
      </c>
      <c r="C20" s="8" t="s">
        <v>9</v>
      </c>
      <c r="D20" s="8" t="s">
        <v>10</v>
      </c>
      <c r="E20" s="8" t="s">
        <v>16</v>
      </c>
      <c r="F20" s="8" t="s">
        <v>14</v>
      </c>
      <c r="G20" s="8">
        <v>15.0</v>
      </c>
      <c r="H20" s="9">
        <v>1252.0</v>
      </c>
      <c r="I20" s="9">
        <f t="shared" si="2"/>
        <v>18780</v>
      </c>
    </row>
    <row r="21" ht="15.75" customHeight="1">
      <c r="A21" s="6">
        <v>45319.0</v>
      </c>
      <c r="B21" s="7">
        <f t="shared" si="1"/>
        <v>45322</v>
      </c>
      <c r="C21" s="8" t="s">
        <v>24</v>
      </c>
      <c r="D21" s="8" t="s">
        <v>19</v>
      </c>
      <c r="E21" s="8" t="s">
        <v>11</v>
      </c>
      <c r="F21" s="8" t="s">
        <v>12</v>
      </c>
      <c r="G21" s="8">
        <v>14.0</v>
      </c>
      <c r="H21" s="9">
        <v>70.0</v>
      </c>
      <c r="I21" s="9">
        <f t="shared" si="2"/>
        <v>980</v>
      </c>
    </row>
    <row r="22" ht="15.75" customHeight="1">
      <c r="A22" s="6">
        <v>45323.0</v>
      </c>
      <c r="B22" s="7">
        <f t="shared" si="1"/>
        <v>45351</v>
      </c>
      <c r="C22" s="8" t="s">
        <v>9</v>
      </c>
      <c r="D22" s="8" t="s">
        <v>10</v>
      </c>
      <c r="E22" s="8" t="s">
        <v>16</v>
      </c>
      <c r="F22" s="8" t="s">
        <v>17</v>
      </c>
      <c r="G22" s="8">
        <v>13.0</v>
      </c>
      <c r="H22" s="9">
        <v>1289.0</v>
      </c>
      <c r="I22" s="9">
        <f t="shared" si="2"/>
        <v>16757</v>
      </c>
    </row>
    <row r="23" ht="15.75" customHeight="1">
      <c r="A23" s="6">
        <v>45325.0</v>
      </c>
      <c r="B23" s="7">
        <f t="shared" si="1"/>
        <v>45351</v>
      </c>
      <c r="C23" s="8" t="s">
        <v>23</v>
      </c>
      <c r="D23" s="8" t="s">
        <v>10</v>
      </c>
      <c r="E23" s="8" t="s">
        <v>21</v>
      </c>
      <c r="F23" s="8" t="s">
        <v>22</v>
      </c>
      <c r="G23" s="8">
        <v>7.0</v>
      </c>
      <c r="H23" s="9">
        <v>971.0</v>
      </c>
      <c r="I23" s="9">
        <f t="shared" si="2"/>
        <v>6797</v>
      </c>
    </row>
    <row r="24" ht="15.75" customHeight="1">
      <c r="A24" s="6">
        <v>45325.0</v>
      </c>
      <c r="B24" s="7">
        <f t="shared" si="1"/>
        <v>45351</v>
      </c>
      <c r="C24" s="8" t="s">
        <v>20</v>
      </c>
      <c r="D24" s="8" t="s">
        <v>19</v>
      </c>
      <c r="E24" s="8" t="s">
        <v>16</v>
      </c>
      <c r="F24" s="8" t="s">
        <v>22</v>
      </c>
      <c r="G24" s="8">
        <v>14.0</v>
      </c>
      <c r="H24" s="9">
        <v>146.0</v>
      </c>
      <c r="I24" s="9">
        <f t="shared" si="2"/>
        <v>2044</v>
      </c>
    </row>
    <row r="25" ht="15.75" customHeight="1">
      <c r="A25" s="6">
        <v>45326.0</v>
      </c>
      <c r="B25" s="7">
        <f t="shared" si="1"/>
        <v>45351</v>
      </c>
      <c r="C25" s="8" t="s">
        <v>18</v>
      </c>
      <c r="D25" s="8" t="s">
        <v>19</v>
      </c>
      <c r="E25" s="8" t="s">
        <v>16</v>
      </c>
      <c r="F25" s="8" t="s">
        <v>14</v>
      </c>
      <c r="G25" s="8">
        <v>1.0</v>
      </c>
      <c r="H25" s="9">
        <v>256.0</v>
      </c>
      <c r="I25" s="9">
        <f t="shared" si="2"/>
        <v>256</v>
      </c>
    </row>
    <row r="26" ht="15.75" customHeight="1">
      <c r="A26" s="6">
        <v>45327.0</v>
      </c>
      <c r="B26" s="7">
        <f t="shared" si="1"/>
        <v>45351</v>
      </c>
      <c r="C26" s="8" t="s">
        <v>18</v>
      </c>
      <c r="D26" s="8" t="s">
        <v>19</v>
      </c>
      <c r="E26" s="8" t="s">
        <v>16</v>
      </c>
      <c r="F26" s="8" t="s">
        <v>22</v>
      </c>
      <c r="G26" s="8">
        <v>11.0</v>
      </c>
      <c r="H26" s="9">
        <v>250.0</v>
      </c>
      <c r="I26" s="9">
        <f t="shared" si="2"/>
        <v>2750</v>
      </c>
    </row>
    <row r="27" ht="15.75" customHeight="1">
      <c r="A27" s="6">
        <v>45329.0</v>
      </c>
      <c r="B27" s="7">
        <f t="shared" si="1"/>
        <v>45351</v>
      </c>
      <c r="C27" s="8" t="s">
        <v>15</v>
      </c>
      <c r="D27" s="8" t="s">
        <v>10</v>
      </c>
      <c r="E27" s="8" t="s">
        <v>21</v>
      </c>
      <c r="F27" s="8" t="s">
        <v>12</v>
      </c>
      <c r="G27" s="8">
        <v>4.0</v>
      </c>
      <c r="H27" s="9">
        <v>3704.0</v>
      </c>
      <c r="I27" s="9">
        <f t="shared" si="2"/>
        <v>14816</v>
      </c>
    </row>
    <row r="28" ht="15.75" customHeight="1">
      <c r="A28" s="6">
        <v>45331.0</v>
      </c>
      <c r="B28" s="7">
        <f t="shared" si="1"/>
        <v>45351</v>
      </c>
      <c r="C28" s="8" t="s">
        <v>20</v>
      </c>
      <c r="D28" s="8" t="s">
        <v>19</v>
      </c>
      <c r="E28" s="8" t="s">
        <v>11</v>
      </c>
      <c r="F28" s="8" t="s">
        <v>12</v>
      </c>
      <c r="G28" s="8">
        <v>7.0</v>
      </c>
      <c r="H28" s="9">
        <v>142.0</v>
      </c>
      <c r="I28" s="9">
        <f t="shared" si="2"/>
        <v>994</v>
      </c>
    </row>
    <row r="29" ht="15.75" customHeight="1">
      <c r="A29" s="6">
        <v>45332.0</v>
      </c>
      <c r="B29" s="7">
        <f t="shared" si="1"/>
        <v>45351</v>
      </c>
      <c r="C29" s="8" t="s">
        <v>9</v>
      </c>
      <c r="D29" s="8" t="s">
        <v>10</v>
      </c>
      <c r="E29" s="8" t="s">
        <v>13</v>
      </c>
      <c r="F29" s="8" t="s">
        <v>22</v>
      </c>
      <c r="G29" s="8">
        <v>13.0</v>
      </c>
      <c r="H29" s="9">
        <v>1178.0</v>
      </c>
      <c r="I29" s="9">
        <f t="shared" si="2"/>
        <v>15314</v>
      </c>
    </row>
    <row r="30" ht="15.75" customHeight="1">
      <c r="A30" s="6">
        <v>45332.0</v>
      </c>
      <c r="B30" s="7">
        <f t="shared" si="1"/>
        <v>45351</v>
      </c>
      <c r="C30" s="8" t="s">
        <v>18</v>
      </c>
      <c r="D30" s="8" t="s">
        <v>19</v>
      </c>
      <c r="E30" s="8" t="s">
        <v>21</v>
      </c>
      <c r="F30" s="8" t="s">
        <v>17</v>
      </c>
      <c r="G30" s="8">
        <v>5.0</v>
      </c>
      <c r="H30" s="9">
        <v>248.0</v>
      </c>
      <c r="I30" s="9">
        <f t="shared" si="2"/>
        <v>1240</v>
      </c>
    </row>
    <row r="31" ht="15.75" customHeight="1">
      <c r="A31" s="6">
        <v>45334.0</v>
      </c>
      <c r="B31" s="7">
        <f t="shared" si="1"/>
        <v>45351</v>
      </c>
      <c r="C31" s="8" t="s">
        <v>20</v>
      </c>
      <c r="D31" s="8" t="s">
        <v>19</v>
      </c>
      <c r="E31" s="8" t="s">
        <v>16</v>
      </c>
      <c r="F31" s="8" t="s">
        <v>17</v>
      </c>
      <c r="G31" s="8">
        <v>12.0</v>
      </c>
      <c r="H31" s="9">
        <v>147.0</v>
      </c>
      <c r="I31" s="9">
        <f t="shared" si="2"/>
        <v>1764</v>
      </c>
    </row>
    <row r="32" ht="15.75" customHeight="1">
      <c r="A32" s="6">
        <v>45335.0</v>
      </c>
      <c r="B32" s="7">
        <f t="shared" si="1"/>
        <v>45351</v>
      </c>
      <c r="C32" s="8" t="s">
        <v>20</v>
      </c>
      <c r="D32" s="8" t="s">
        <v>19</v>
      </c>
      <c r="E32" s="8" t="s">
        <v>21</v>
      </c>
      <c r="F32" s="8" t="s">
        <v>12</v>
      </c>
      <c r="G32" s="8">
        <v>3.0</v>
      </c>
      <c r="H32" s="9">
        <v>138.0</v>
      </c>
      <c r="I32" s="9">
        <f t="shared" si="2"/>
        <v>414</v>
      </c>
    </row>
    <row r="33" ht="15.75" customHeight="1">
      <c r="A33" s="6">
        <v>45341.0</v>
      </c>
      <c r="B33" s="7">
        <f t="shared" si="1"/>
        <v>45351</v>
      </c>
      <c r="C33" s="8" t="s">
        <v>20</v>
      </c>
      <c r="D33" s="8" t="s">
        <v>19</v>
      </c>
      <c r="E33" s="8" t="s">
        <v>11</v>
      </c>
      <c r="F33" s="8" t="s">
        <v>12</v>
      </c>
      <c r="G33" s="8">
        <v>15.0</v>
      </c>
      <c r="H33" s="9">
        <v>152.0</v>
      </c>
      <c r="I33" s="9">
        <f t="shared" si="2"/>
        <v>2280</v>
      </c>
    </row>
    <row r="34" ht="15.75" customHeight="1">
      <c r="A34" s="6">
        <v>45341.0</v>
      </c>
      <c r="B34" s="7">
        <f t="shared" si="1"/>
        <v>45351</v>
      </c>
      <c r="C34" s="8" t="s">
        <v>23</v>
      </c>
      <c r="D34" s="8" t="s">
        <v>10</v>
      </c>
      <c r="E34" s="8" t="s">
        <v>21</v>
      </c>
      <c r="F34" s="8" t="s">
        <v>14</v>
      </c>
      <c r="G34" s="8">
        <v>15.0</v>
      </c>
      <c r="H34" s="9">
        <v>1451.0</v>
      </c>
      <c r="I34" s="9">
        <f t="shared" si="2"/>
        <v>21765</v>
      </c>
    </row>
    <row r="35" ht="15.75" customHeight="1">
      <c r="A35" s="6">
        <v>45346.0</v>
      </c>
      <c r="B35" s="7">
        <f t="shared" si="1"/>
        <v>45351</v>
      </c>
      <c r="C35" s="8" t="s">
        <v>18</v>
      </c>
      <c r="D35" s="8" t="s">
        <v>19</v>
      </c>
      <c r="E35" s="8" t="s">
        <v>11</v>
      </c>
      <c r="F35" s="8" t="s">
        <v>12</v>
      </c>
      <c r="G35" s="8">
        <v>8.0</v>
      </c>
      <c r="H35" s="9">
        <v>192.0</v>
      </c>
      <c r="I35" s="9">
        <f t="shared" si="2"/>
        <v>1536</v>
      </c>
    </row>
    <row r="36" ht="15.75" customHeight="1">
      <c r="A36" s="6">
        <v>45348.0</v>
      </c>
      <c r="B36" s="7">
        <f t="shared" si="1"/>
        <v>45351</v>
      </c>
      <c r="C36" s="8" t="s">
        <v>9</v>
      </c>
      <c r="D36" s="8" t="s">
        <v>10</v>
      </c>
      <c r="E36" s="8" t="s">
        <v>11</v>
      </c>
      <c r="F36" s="8" t="s">
        <v>17</v>
      </c>
      <c r="G36" s="8">
        <v>13.0</v>
      </c>
      <c r="H36" s="9">
        <v>1215.0</v>
      </c>
      <c r="I36" s="9">
        <f t="shared" si="2"/>
        <v>15795</v>
      </c>
    </row>
    <row r="37" ht="15.75" customHeight="1">
      <c r="A37" s="6">
        <v>45349.0</v>
      </c>
      <c r="B37" s="7">
        <f t="shared" si="1"/>
        <v>45351</v>
      </c>
      <c r="C37" s="8" t="s">
        <v>24</v>
      </c>
      <c r="D37" s="8" t="s">
        <v>19</v>
      </c>
      <c r="E37" s="8" t="s">
        <v>11</v>
      </c>
      <c r="F37" s="8" t="s">
        <v>12</v>
      </c>
      <c r="G37" s="8">
        <v>6.0</v>
      </c>
      <c r="H37" s="9">
        <v>90.0</v>
      </c>
      <c r="I37" s="9">
        <f t="shared" si="2"/>
        <v>540</v>
      </c>
    </row>
    <row r="38" ht="15.75" customHeight="1">
      <c r="A38" s="6">
        <v>45351.0</v>
      </c>
      <c r="B38" s="7">
        <f t="shared" si="1"/>
        <v>45351</v>
      </c>
      <c r="C38" s="8" t="s">
        <v>23</v>
      </c>
      <c r="D38" s="8" t="s">
        <v>10</v>
      </c>
      <c r="E38" s="8" t="s">
        <v>11</v>
      </c>
      <c r="F38" s="8" t="s">
        <v>17</v>
      </c>
      <c r="G38" s="8">
        <v>8.0</v>
      </c>
      <c r="H38" s="9">
        <v>1159.0</v>
      </c>
      <c r="I38" s="9">
        <f t="shared" si="2"/>
        <v>9272</v>
      </c>
    </row>
    <row r="39" ht="15.75" customHeight="1">
      <c r="A39" s="6">
        <v>45352.0</v>
      </c>
      <c r="B39" s="7">
        <f t="shared" si="1"/>
        <v>45382</v>
      </c>
      <c r="C39" s="8" t="s">
        <v>24</v>
      </c>
      <c r="D39" s="8" t="s">
        <v>19</v>
      </c>
      <c r="E39" s="8" t="s">
        <v>16</v>
      </c>
      <c r="F39" s="8" t="s">
        <v>22</v>
      </c>
      <c r="G39" s="8">
        <v>9.0</v>
      </c>
      <c r="H39" s="9">
        <v>60.0</v>
      </c>
      <c r="I39" s="9">
        <f t="shared" si="2"/>
        <v>540</v>
      </c>
    </row>
    <row r="40" ht="15.75" customHeight="1">
      <c r="A40" s="6">
        <v>45353.0</v>
      </c>
      <c r="B40" s="7">
        <f t="shared" si="1"/>
        <v>45382</v>
      </c>
      <c r="C40" s="8" t="s">
        <v>23</v>
      </c>
      <c r="D40" s="8" t="s">
        <v>10</v>
      </c>
      <c r="E40" s="8" t="s">
        <v>21</v>
      </c>
      <c r="F40" s="8" t="s">
        <v>14</v>
      </c>
      <c r="G40" s="8">
        <v>12.0</v>
      </c>
      <c r="H40" s="9">
        <v>1016.0</v>
      </c>
      <c r="I40" s="9">
        <f t="shared" si="2"/>
        <v>12192</v>
      </c>
    </row>
    <row r="41" ht="15.75" customHeight="1">
      <c r="A41" s="6">
        <v>45355.0</v>
      </c>
      <c r="B41" s="7">
        <f t="shared" si="1"/>
        <v>45382</v>
      </c>
      <c r="C41" s="8" t="s">
        <v>24</v>
      </c>
      <c r="D41" s="8" t="s">
        <v>19</v>
      </c>
      <c r="E41" s="8" t="s">
        <v>11</v>
      </c>
      <c r="F41" s="8" t="s">
        <v>12</v>
      </c>
      <c r="G41" s="8">
        <v>11.0</v>
      </c>
      <c r="H41" s="9">
        <v>63.0</v>
      </c>
      <c r="I41" s="9">
        <f t="shared" si="2"/>
        <v>693</v>
      </c>
    </row>
    <row r="42" ht="15.75" customHeight="1">
      <c r="A42" s="6">
        <v>45355.0</v>
      </c>
      <c r="B42" s="7">
        <f t="shared" si="1"/>
        <v>45382</v>
      </c>
      <c r="C42" s="8" t="s">
        <v>23</v>
      </c>
      <c r="D42" s="8" t="s">
        <v>10</v>
      </c>
      <c r="E42" s="8" t="s">
        <v>21</v>
      </c>
      <c r="F42" s="8" t="s">
        <v>17</v>
      </c>
      <c r="G42" s="8">
        <v>10.0</v>
      </c>
      <c r="H42" s="9">
        <v>1247.0</v>
      </c>
      <c r="I42" s="9">
        <f t="shared" si="2"/>
        <v>12470</v>
      </c>
    </row>
    <row r="43" ht="15.75" customHeight="1">
      <c r="A43" s="6">
        <v>45357.0</v>
      </c>
      <c r="B43" s="7">
        <f t="shared" si="1"/>
        <v>45382</v>
      </c>
      <c r="C43" s="8" t="s">
        <v>15</v>
      </c>
      <c r="D43" s="8" t="s">
        <v>10</v>
      </c>
      <c r="E43" s="8" t="s">
        <v>16</v>
      </c>
      <c r="F43" s="8" t="s">
        <v>22</v>
      </c>
      <c r="G43" s="8">
        <v>6.0</v>
      </c>
      <c r="H43" s="9">
        <v>3559.0</v>
      </c>
      <c r="I43" s="9">
        <f t="shared" si="2"/>
        <v>21354</v>
      </c>
    </row>
    <row r="44" ht="15.75" customHeight="1">
      <c r="A44" s="6">
        <v>45358.0</v>
      </c>
      <c r="B44" s="7">
        <f t="shared" si="1"/>
        <v>45382</v>
      </c>
      <c r="C44" s="8" t="s">
        <v>15</v>
      </c>
      <c r="D44" s="8" t="s">
        <v>10</v>
      </c>
      <c r="E44" s="8" t="s">
        <v>11</v>
      </c>
      <c r="F44" s="8" t="s">
        <v>17</v>
      </c>
      <c r="G44" s="8">
        <v>11.0</v>
      </c>
      <c r="H44" s="9">
        <v>3750.0</v>
      </c>
      <c r="I44" s="9">
        <f t="shared" si="2"/>
        <v>41250</v>
      </c>
    </row>
    <row r="45" ht="15.75" customHeight="1">
      <c r="A45" s="6">
        <v>45358.0</v>
      </c>
      <c r="B45" s="7">
        <f t="shared" si="1"/>
        <v>45382</v>
      </c>
      <c r="C45" s="8" t="s">
        <v>24</v>
      </c>
      <c r="D45" s="8" t="s">
        <v>19</v>
      </c>
      <c r="E45" s="8" t="s">
        <v>21</v>
      </c>
      <c r="F45" s="8" t="s">
        <v>22</v>
      </c>
      <c r="G45" s="8">
        <v>15.0</v>
      </c>
      <c r="H45" s="9">
        <v>73.0</v>
      </c>
      <c r="I45" s="9">
        <f t="shared" si="2"/>
        <v>1095</v>
      </c>
    </row>
    <row r="46" ht="15.75" customHeight="1">
      <c r="A46" s="6">
        <v>45358.0</v>
      </c>
      <c r="B46" s="7">
        <f t="shared" si="1"/>
        <v>45382</v>
      </c>
      <c r="C46" s="8" t="s">
        <v>15</v>
      </c>
      <c r="D46" s="8" t="s">
        <v>10</v>
      </c>
      <c r="E46" s="8" t="s">
        <v>13</v>
      </c>
      <c r="F46" s="8" t="s">
        <v>22</v>
      </c>
      <c r="G46" s="8">
        <v>15.0</v>
      </c>
      <c r="H46" s="9">
        <v>3524.0</v>
      </c>
      <c r="I46" s="9">
        <f t="shared" si="2"/>
        <v>52860</v>
      </c>
    </row>
    <row r="47" ht="15.75" customHeight="1">
      <c r="A47" s="6">
        <v>45360.0</v>
      </c>
      <c r="B47" s="7">
        <f t="shared" si="1"/>
        <v>45382</v>
      </c>
      <c r="C47" s="8" t="s">
        <v>24</v>
      </c>
      <c r="D47" s="8" t="s">
        <v>19</v>
      </c>
      <c r="E47" s="8" t="s">
        <v>16</v>
      </c>
      <c r="F47" s="8" t="s">
        <v>12</v>
      </c>
      <c r="G47" s="8">
        <v>12.0</v>
      </c>
      <c r="H47" s="9">
        <v>73.0</v>
      </c>
      <c r="I47" s="9">
        <f t="shared" si="2"/>
        <v>876</v>
      </c>
    </row>
    <row r="48" ht="15.75" customHeight="1">
      <c r="A48" s="6">
        <v>45360.0</v>
      </c>
      <c r="B48" s="7">
        <f t="shared" si="1"/>
        <v>45382</v>
      </c>
      <c r="C48" s="8" t="s">
        <v>15</v>
      </c>
      <c r="D48" s="8" t="s">
        <v>10</v>
      </c>
      <c r="E48" s="8" t="s">
        <v>13</v>
      </c>
      <c r="F48" s="8" t="s">
        <v>12</v>
      </c>
      <c r="G48" s="8">
        <v>8.0</v>
      </c>
      <c r="H48" s="9">
        <v>3657.0</v>
      </c>
      <c r="I48" s="9">
        <f t="shared" si="2"/>
        <v>29256</v>
      </c>
    </row>
    <row r="49" ht="15.75" customHeight="1">
      <c r="A49" s="6">
        <v>45364.0</v>
      </c>
      <c r="B49" s="7">
        <f t="shared" si="1"/>
        <v>45382</v>
      </c>
      <c r="C49" s="8" t="s">
        <v>24</v>
      </c>
      <c r="D49" s="8" t="s">
        <v>19</v>
      </c>
      <c r="E49" s="8" t="s">
        <v>11</v>
      </c>
      <c r="F49" s="8" t="s">
        <v>17</v>
      </c>
      <c r="G49" s="8">
        <v>5.0</v>
      </c>
      <c r="H49" s="9">
        <v>78.0</v>
      </c>
      <c r="I49" s="9">
        <f t="shared" si="2"/>
        <v>390</v>
      </c>
    </row>
    <row r="50" ht="15.75" customHeight="1">
      <c r="A50" s="6">
        <v>45364.0</v>
      </c>
      <c r="B50" s="7">
        <f t="shared" si="1"/>
        <v>45382</v>
      </c>
      <c r="C50" s="8" t="s">
        <v>15</v>
      </c>
      <c r="D50" s="8" t="s">
        <v>10</v>
      </c>
      <c r="E50" s="8" t="s">
        <v>13</v>
      </c>
      <c r="F50" s="8" t="s">
        <v>17</v>
      </c>
      <c r="G50" s="8">
        <v>5.0</v>
      </c>
      <c r="H50" s="9">
        <v>3468.0</v>
      </c>
      <c r="I50" s="9">
        <f t="shared" si="2"/>
        <v>17340</v>
      </c>
    </row>
    <row r="51" ht="15.75" customHeight="1">
      <c r="A51" s="6">
        <v>45370.0</v>
      </c>
      <c r="B51" s="7">
        <f t="shared" si="1"/>
        <v>45382</v>
      </c>
      <c r="C51" s="8" t="s">
        <v>24</v>
      </c>
      <c r="D51" s="8" t="s">
        <v>19</v>
      </c>
      <c r="E51" s="8" t="s">
        <v>16</v>
      </c>
      <c r="F51" s="8" t="s">
        <v>22</v>
      </c>
      <c r="G51" s="8">
        <v>5.0</v>
      </c>
      <c r="H51" s="9">
        <v>89.0</v>
      </c>
      <c r="I51" s="9">
        <f t="shared" si="2"/>
        <v>445</v>
      </c>
    </row>
    <row r="52" ht="15.75" customHeight="1">
      <c r="A52" s="6">
        <v>45370.0</v>
      </c>
      <c r="B52" s="7">
        <f t="shared" si="1"/>
        <v>45382</v>
      </c>
      <c r="C52" s="8" t="s">
        <v>18</v>
      </c>
      <c r="D52" s="8" t="s">
        <v>19</v>
      </c>
      <c r="E52" s="8" t="s">
        <v>13</v>
      </c>
      <c r="F52" s="8" t="s">
        <v>17</v>
      </c>
      <c r="G52" s="8">
        <v>10.0</v>
      </c>
      <c r="H52" s="9">
        <v>233.0</v>
      </c>
      <c r="I52" s="9">
        <f t="shared" si="2"/>
        <v>2330</v>
      </c>
    </row>
    <row r="53" ht="15.75" customHeight="1">
      <c r="A53" s="6">
        <v>45371.0</v>
      </c>
      <c r="B53" s="7">
        <f t="shared" si="1"/>
        <v>45382</v>
      </c>
      <c r="C53" s="8" t="s">
        <v>24</v>
      </c>
      <c r="D53" s="8" t="s">
        <v>19</v>
      </c>
      <c r="E53" s="8" t="s">
        <v>13</v>
      </c>
      <c r="F53" s="8" t="s">
        <v>22</v>
      </c>
      <c r="G53" s="8">
        <v>6.0</v>
      </c>
      <c r="H53" s="9">
        <v>80.0</v>
      </c>
      <c r="I53" s="9">
        <f t="shared" si="2"/>
        <v>480</v>
      </c>
    </row>
    <row r="54" ht="15.75" customHeight="1">
      <c r="A54" s="6">
        <v>45372.0</v>
      </c>
      <c r="B54" s="7">
        <f t="shared" si="1"/>
        <v>45382</v>
      </c>
      <c r="C54" s="8" t="s">
        <v>15</v>
      </c>
      <c r="D54" s="8" t="s">
        <v>10</v>
      </c>
      <c r="E54" s="8" t="s">
        <v>11</v>
      </c>
      <c r="F54" s="8" t="s">
        <v>17</v>
      </c>
      <c r="G54" s="8">
        <v>2.0</v>
      </c>
      <c r="H54" s="9">
        <v>3700.0</v>
      </c>
      <c r="I54" s="9">
        <f t="shared" si="2"/>
        <v>7400</v>
      </c>
    </row>
    <row r="55" ht="15.75" customHeight="1">
      <c r="A55" s="6">
        <v>45373.0</v>
      </c>
      <c r="B55" s="7">
        <f t="shared" si="1"/>
        <v>45382</v>
      </c>
      <c r="C55" s="8" t="s">
        <v>18</v>
      </c>
      <c r="D55" s="8" t="s">
        <v>19</v>
      </c>
      <c r="E55" s="8" t="s">
        <v>13</v>
      </c>
      <c r="F55" s="8" t="s">
        <v>17</v>
      </c>
      <c r="G55" s="8">
        <v>5.0</v>
      </c>
      <c r="H55" s="9">
        <v>187.0</v>
      </c>
      <c r="I55" s="9">
        <f t="shared" si="2"/>
        <v>935</v>
      </c>
    </row>
    <row r="56" ht="15.75" customHeight="1">
      <c r="A56" s="6">
        <v>45373.0</v>
      </c>
      <c r="B56" s="7">
        <f t="shared" si="1"/>
        <v>45382</v>
      </c>
      <c r="C56" s="8" t="s">
        <v>23</v>
      </c>
      <c r="D56" s="8" t="s">
        <v>10</v>
      </c>
      <c r="E56" s="8" t="s">
        <v>13</v>
      </c>
      <c r="F56" s="8" t="s">
        <v>12</v>
      </c>
      <c r="G56" s="8">
        <v>8.0</v>
      </c>
      <c r="H56" s="9">
        <v>1440.0</v>
      </c>
      <c r="I56" s="9">
        <f t="shared" si="2"/>
        <v>11520</v>
      </c>
    </row>
    <row r="57" ht="15.75" customHeight="1">
      <c r="A57" s="6">
        <v>45377.0</v>
      </c>
      <c r="B57" s="7">
        <f t="shared" si="1"/>
        <v>45382</v>
      </c>
      <c r="C57" s="8" t="s">
        <v>20</v>
      </c>
      <c r="D57" s="8" t="s">
        <v>19</v>
      </c>
      <c r="E57" s="8" t="s">
        <v>11</v>
      </c>
      <c r="F57" s="8" t="s">
        <v>22</v>
      </c>
      <c r="G57" s="8">
        <v>14.0</v>
      </c>
      <c r="H57" s="9">
        <v>162.0</v>
      </c>
      <c r="I57" s="9">
        <f t="shared" si="2"/>
        <v>2268</v>
      </c>
    </row>
    <row r="58" ht="15.75" customHeight="1">
      <c r="A58" s="6">
        <v>45378.0</v>
      </c>
      <c r="B58" s="7">
        <f t="shared" si="1"/>
        <v>45382</v>
      </c>
      <c r="C58" s="8" t="s">
        <v>23</v>
      </c>
      <c r="D58" s="8" t="s">
        <v>10</v>
      </c>
      <c r="E58" s="8" t="s">
        <v>13</v>
      </c>
      <c r="F58" s="8" t="s">
        <v>12</v>
      </c>
      <c r="G58" s="8">
        <v>15.0</v>
      </c>
      <c r="H58" s="9">
        <v>1250.0</v>
      </c>
      <c r="I58" s="9">
        <f t="shared" si="2"/>
        <v>18750</v>
      </c>
    </row>
    <row r="59" ht="15.75" customHeight="1">
      <c r="A59" s="6">
        <v>45378.0</v>
      </c>
      <c r="B59" s="7">
        <f t="shared" si="1"/>
        <v>45382</v>
      </c>
      <c r="C59" s="8" t="s">
        <v>23</v>
      </c>
      <c r="D59" s="8" t="s">
        <v>10</v>
      </c>
      <c r="E59" s="8" t="s">
        <v>16</v>
      </c>
      <c r="F59" s="8" t="s">
        <v>14</v>
      </c>
      <c r="G59" s="8">
        <v>9.0</v>
      </c>
      <c r="H59" s="9">
        <v>1288.0</v>
      </c>
      <c r="I59" s="9">
        <f t="shared" si="2"/>
        <v>11592</v>
      </c>
    </row>
    <row r="60" ht="15.75" customHeight="1">
      <c r="A60" s="6">
        <v>45380.0</v>
      </c>
      <c r="B60" s="7">
        <f t="shared" si="1"/>
        <v>45382</v>
      </c>
      <c r="C60" s="8" t="s">
        <v>18</v>
      </c>
      <c r="D60" s="8" t="s">
        <v>19</v>
      </c>
      <c r="E60" s="8" t="s">
        <v>13</v>
      </c>
      <c r="F60" s="8" t="s">
        <v>14</v>
      </c>
      <c r="G60" s="8">
        <v>4.0</v>
      </c>
      <c r="H60" s="9">
        <v>254.0</v>
      </c>
      <c r="I60" s="9">
        <f t="shared" si="2"/>
        <v>1016</v>
      </c>
    </row>
    <row r="61" ht="15.75" customHeight="1">
      <c r="A61" s="6">
        <v>45381.0</v>
      </c>
      <c r="B61" s="7">
        <f t="shared" si="1"/>
        <v>45382</v>
      </c>
      <c r="C61" s="8" t="s">
        <v>18</v>
      </c>
      <c r="D61" s="8" t="s">
        <v>19</v>
      </c>
      <c r="E61" s="8" t="s">
        <v>16</v>
      </c>
      <c r="F61" s="8" t="s">
        <v>22</v>
      </c>
      <c r="G61" s="8">
        <v>11.0</v>
      </c>
      <c r="H61" s="9">
        <v>215.0</v>
      </c>
      <c r="I61" s="9">
        <f t="shared" si="2"/>
        <v>2365</v>
      </c>
    </row>
    <row r="62" ht="15.75" customHeight="1">
      <c r="A62" s="6">
        <v>45383.0</v>
      </c>
      <c r="B62" s="7">
        <f t="shared" si="1"/>
        <v>45412</v>
      </c>
      <c r="C62" s="8" t="s">
        <v>23</v>
      </c>
      <c r="D62" s="8" t="s">
        <v>10</v>
      </c>
      <c r="E62" s="8" t="s">
        <v>13</v>
      </c>
      <c r="F62" s="8" t="s">
        <v>22</v>
      </c>
      <c r="G62" s="8">
        <v>11.0</v>
      </c>
      <c r="H62" s="9">
        <v>922.0</v>
      </c>
      <c r="I62" s="9">
        <f t="shared" si="2"/>
        <v>10142</v>
      </c>
    </row>
    <row r="63" ht="15.75" customHeight="1">
      <c r="A63" s="6">
        <v>45384.0</v>
      </c>
      <c r="B63" s="7">
        <f t="shared" si="1"/>
        <v>45412</v>
      </c>
      <c r="C63" s="8" t="s">
        <v>9</v>
      </c>
      <c r="D63" s="8" t="s">
        <v>10</v>
      </c>
      <c r="E63" s="8" t="s">
        <v>11</v>
      </c>
      <c r="F63" s="8" t="s">
        <v>14</v>
      </c>
      <c r="G63" s="8">
        <v>12.0</v>
      </c>
      <c r="H63" s="9">
        <v>1287.0</v>
      </c>
      <c r="I63" s="9">
        <f t="shared" si="2"/>
        <v>15444</v>
      </c>
    </row>
    <row r="64" ht="15.75" customHeight="1">
      <c r="A64" s="6">
        <v>45391.0</v>
      </c>
      <c r="B64" s="7">
        <f t="shared" si="1"/>
        <v>45412</v>
      </c>
      <c r="C64" s="8" t="s">
        <v>23</v>
      </c>
      <c r="D64" s="8" t="s">
        <v>10</v>
      </c>
      <c r="E64" s="8" t="s">
        <v>16</v>
      </c>
      <c r="F64" s="8" t="s">
        <v>12</v>
      </c>
      <c r="G64" s="8">
        <v>13.0</v>
      </c>
      <c r="H64" s="9">
        <v>1036.0</v>
      </c>
      <c r="I64" s="9">
        <f t="shared" si="2"/>
        <v>13468</v>
      </c>
    </row>
    <row r="65" ht="15.75" customHeight="1">
      <c r="A65" s="6">
        <v>45392.0</v>
      </c>
      <c r="B65" s="7">
        <f t="shared" si="1"/>
        <v>45412</v>
      </c>
      <c r="C65" s="8" t="s">
        <v>23</v>
      </c>
      <c r="D65" s="8" t="s">
        <v>10</v>
      </c>
      <c r="E65" s="8" t="s">
        <v>13</v>
      </c>
      <c r="F65" s="8" t="s">
        <v>14</v>
      </c>
      <c r="G65" s="8">
        <v>6.0</v>
      </c>
      <c r="H65" s="9">
        <v>1173.0</v>
      </c>
      <c r="I65" s="9">
        <f t="shared" si="2"/>
        <v>7038</v>
      </c>
    </row>
    <row r="66" ht="15.75" customHeight="1">
      <c r="A66" s="6">
        <v>45393.0</v>
      </c>
      <c r="B66" s="7">
        <f t="shared" si="1"/>
        <v>45412</v>
      </c>
      <c r="C66" s="8" t="s">
        <v>18</v>
      </c>
      <c r="D66" s="8" t="s">
        <v>19</v>
      </c>
      <c r="E66" s="8" t="s">
        <v>13</v>
      </c>
      <c r="F66" s="8" t="s">
        <v>17</v>
      </c>
      <c r="G66" s="8">
        <v>1.0</v>
      </c>
      <c r="H66" s="9">
        <v>198.0</v>
      </c>
      <c r="I66" s="9">
        <f t="shared" si="2"/>
        <v>198</v>
      </c>
    </row>
    <row r="67" ht="15.75" customHeight="1">
      <c r="A67" s="6">
        <v>45393.0</v>
      </c>
      <c r="B67" s="7">
        <f t="shared" si="1"/>
        <v>45412</v>
      </c>
      <c r="C67" s="8" t="s">
        <v>18</v>
      </c>
      <c r="D67" s="8" t="s">
        <v>19</v>
      </c>
      <c r="E67" s="8" t="s">
        <v>21</v>
      </c>
      <c r="F67" s="8" t="s">
        <v>22</v>
      </c>
      <c r="G67" s="8">
        <v>9.0</v>
      </c>
      <c r="H67" s="9">
        <v>260.0</v>
      </c>
      <c r="I67" s="9">
        <f t="shared" si="2"/>
        <v>2340</v>
      </c>
    </row>
    <row r="68" ht="15.75" customHeight="1">
      <c r="A68" s="6">
        <v>45395.0</v>
      </c>
      <c r="B68" s="7">
        <f t="shared" si="1"/>
        <v>45412</v>
      </c>
      <c r="C68" s="8" t="s">
        <v>15</v>
      </c>
      <c r="D68" s="8" t="s">
        <v>10</v>
      </c>
      <c r="E68" s="8" t="s">
        <v>16</v>
      </c>
      <c r="F68" s="8" t="s">
        <v>17</v>
      </c>
      <c r="G68" s="8">
        <v>12.0</v>
      </c>
      <c r="H68" s="9">
        <v>3539.0</v>
      </c>
      <c r="I68" s="9">
        <f t="shared" si="2"/>
        <v>42468</v>
      </c>
    </row>
    <row r="69" ht="15.75" customHeight="1">
      <c r="A69" s="6">
        <v>45397.0</v>
      </c>
      <c r="B69" s="7">
        <f t="shared" si="1"/>
        <v>45412</v>
      </c>
      <c r="C69" s="8" t="s">
        <v>15</v>
      </c>
      <c r="D69" s="8" t="s">
        <v>10</v>
      </c>
      <c r="E69" s="8" t="s">
        <v>16</v>
      </c>
      <c r="F69" s="8" t="s">
        <v>14</v>
      </c>
      <c r="G69" s="8">
        <v>6.0</v>
      </c>
      <c r="H69" s="9">
        <v>3653.0</v>
      </c>
      <c r="I69" s="9">
        <f t="shared" si="2"/>
        <v>21918</v>
      </c>
    </row>
    <row r="70" ht="15.75" customHeight="1">
      <c r="A70" s="6">
        <v>45397.0</v>
      </c>
      <c r="B70" s="7">
        <f t="shared" si="1"/>
        <v>45412</v>
      </c>
      <c r="C70" s="8" t="s">
        <v>9</v>
      </c>
      <c r="D70" s="8" t="s">
        <v>10</v>
      </c>
      <c r="E70" s="8" t="s">
        <v>16</v>
      </c>
      <c r="F70" s="8" t="s">
        <v>14</v>
      </c>
      <c r="G70" s="8">
        <v>7.0</v>
      </c>
      <c r="H70" s="9">
        <v>1174.0</v>
      </c>
      <c r="I70" s="9">
        <f t="shared" si="2"/>
        <v>8218</v>
      </c>
    </row>
    <row r="71" ht="15.75" customHeight="1">
      <c r="A71" s="6">
        <v>45399.0</v>
      </c>
      <c r="B71" s="7">
        <f t="shared" si="1"/>
        <v>45412</v>
      </c>
      <c r="C71" s="8" t="s">
        <v>15</v>
      </c>
      <c r="D71" s="8" t="s">
        <v>10</v>
      </c>
      <c r="E71" s="8" t="s">
        <v>13</v>
      </c>
      <c r="F71" s="8" t="s">
        <v>12</v>
      </c>
      <c r="G71" s="8">
        <v>8.0</v>
      </c>
      <c r="H71" s="9">
        <v>3658.0</v>
      </c>
      <c r="I71" s="9">
        <f t="shared" si="2"/>
        <v>29264</v>
      </c>
    </row>
    <row r="72" ht="15.75" customHeight="1">
      <c r="A72" s="6">
        <v>45401.0</v>
      </c>
      <c r="B72" s="7">
        <f t="shared" si="1"/>
        <v>45412</v>
      </c>
      <c r="C72" s="8" t="s">
        <v>15</v>
      </c>
      <c r="D72" s="8" t="s">
        <v>10</v>
      </c>
      <c r="E72" s="8" t="s">
        <v>13</v>
      </c>
      <c r="F72" s="8" t="s">
        <v>12</v>
      </c>
      <c r="G72" s="8">
        <v>12.0</v>
      </c>
      <c r="H72" s="9">
        <v>3541.0</v>
      </c>
      <c r="I72" s="9">
        <f t="shared" si="2"/>
        <v>42492</v>
      </c>
    </row>
    <row r="73" ht="15.75" customHeight="1">
      <c r="A73" s="6">
        <v>45402.0</v>
      </c>
      <c r="B73" s="7">
        <f t="shared" si="1"/>
        <v>45412</v>
      </c>
      <c r="C73" s="8" t="s">
        <v>24</v>
      </c>
      <c r="D73" s="8" t="s">
        <v>19</v>
      </c>
      <c r="E73" s="8" t="s">
        <v>11</v>
      </c>
      <c r="F73" s="8" t="s">
        <v>12</v>
      </c>
      <c r="G73" s="8">
        <v>8.0</v>
      </c>
      <c r="H73" s="9">
        <v>81.0</v>
      </c>
      <c r="I73" s="9">
        <f t="shared" si="2"/>
        <v>648</v>
      </c>
    </row>
    <row r="74" ht="15.75" customHeight="1">
      <c r="A74" s="6">
        <v>45403.0</v>
      </c>
      <c r="B74" s="7">
        <f t="shared" si="1"/>
        <v>45412</v>
      </c>
      <c r="C74" s="8" t="s">
        <v>20</v>
      </c>
      <c r="D74" s="8" t="s">
        <v>19</v>
      </c>
      <c r="E74" s="8" t="s">
        <v>13</v>
      </c>
      <c r="F74" s="8" t="s">
        <v>14</v>
      </c>
      <c r="G74" s="8">
        <v>9.0</v>
      </c>
      <c r="H74" s="9">
        <v>138.0</v>
      </c>
      <c r="I74" s="9">
        <f t="shared" si="2"/>
        <v>1242</v>
      </c>
    </row>
    <row r="75" ht="15.75" customHeight="1">
      <c r="A75" s="6">
        <v>45407.0</v>
      </c>
      <c r="B75" s="7">
        <f t="shared" si="1"/>
        <v>45412</v>
      </c>
      <c r="C75" s="8" t="s">
        <v>24</v>
      </c>
      <c r="D75" s="8" t="s">
        <v>19</v>
      </c>
      <c r="E75" s="8" t="s">
        <v>13</v>
      </c>
      <c r="F75" s="8" t="s">
        <v>14</v>
      </c>
      <c r="G75" s="8">
        <v>1.0</v>
      </c>
      <c r="H75" s="9">
        <v>75.0</v>
      </c>
      <c r="I75" s="9">
        <f t="shared" si="2"/>
        <v>75</v>
      </c>
    </row>
    <row r="76" ht="15.75" customHeight="1">
      <c r="A76" s="6">
        <v>45411.0</v>
      </c>
      <c r="B76" s="7">
        <f t="shared" si="1"/>
        <v>45412</v>
      </c>
      <c r="C76" s="8" t="s">
        <v>24</v>
      </c>
      <c r="D76" s="8" t="s">
        <v>19</v>
      </c>
      <c r="E76" s="8" t="s">
        <v>16</v>
      </c>
      <c r="F76" s="8" t="s">
        <v>17</v>
      </c>
      <c r="G76" s="8">
        <v>8.0</v>
      </c>
      <c r="H76" s="9">
        <v>78.0</v>
      </c>
      <c r="I76" s="9">
        <f t="shared" si="2"/>
        <v>624</v>
      </c>
    </row>
    <row r="77" ht="15.75" customHeight="1">
      <c r="A77" s="6">
        <v>45412.0</v>
      </c>
      <c r="B77" s="7">
        <f t="shared" si="1"/>
        <v>45412</v>
      </c>
      <c r="C77" s="8" t="s">
        <v>15</v>
      </c>
      <c r="D77" s="8" t="s">
        <v>10</v>
      </c>
      <c r="E77" s="8" t="s">
        <v>21</v>
      </c>
      <c r="F77" s="8" t="s">
        <v>22</v>
      </c>
      <c r="G77" s="8">
        <v>5.0</v>
      </c>
      <c r="H77" s="9">
        <v>3720.0</v>
      </c>
      <c r="I77" s="9">
        <f t="shared" si="2"/>
        <v>18600</v>
      </c>
    </row>
    <row r="78" ht="15.75" customHeight="1">
      <c r="A78" s="6">
        <v>45413.0</v>
      </c>
      <c r="B78" s="7">
        <f t="shared" si="1"/>
        <v>45443</v>
      </c>
      <c r="C78" s="8" t="s">
        <v>24</v>
      </c>
      <c r="D78" s="8" t="s">
        <v>19</v>
      </c>
      <c r="E78" s="8" t="s">
        <v>13</v>
      </c>
      <c r="F78" s="8" t="s">
        <v>22</v>
      </c>
      <c r="G78" s="8">
        <v>13.0</v>
      </c>
      <c r="H78" s="9">
        <v>75.0</v>
      </c>
      <c r="I78" s="9">
        <f t="shared" si="2"/>
        <v>975</v>
      </c>
    </row>
    <row r="79" ht="15.75" customHeight="1">
      <c r="A79" s="6">
        <v>45415.0</v>
      </c>
      <c r="B79" s="7">
        <f t="shared" si="1"/>
        <v>45443</v>
      </c>
      <c r="C79" s="8" t="s">
        <v>15</v>
      </c>
      <c r="D79" s="8" t="s">
        <v>10</v>
      </c>
      <c r="E79" s="8" t="s">
        <v>21</v>
      </c>
      <c r="F79" s="8" t="s">
        <v>22</v>
      </c>
      <c r="G79" s="8">
        <v>11.0</v>
      </c>
      <c r="H79" s="9">
        <v>3614.0</v>
      </c>
      <c r="I79" s="9">
        <f t="shared" si="2"/>
        <v>39754</v>
      </c>
    </row>
    <row r="80" ht="15.75" customHeight="1">
      <c r="A80" s="6">
        <v>45415.0</v>
      </c>
      <c r="B80" s="7">
        <f t="shared" si="1"/>
        <v>45443</v>
      </c>
      <c r="C80" s="8" t="s">
        <v>18</v>
      </c>
      <c r="D80" s="8" t="s">
        <v>19</v>
      </c>
      <c r="E80" s="8" t="s">
        <v>16</v>
      </c>
      <c r="F80" s="8" t="s">
        <v>12</v>
      </c>
      <c r="G80" s="8">
        <v>4.0</v>
      </c>
      <c r="H80" s="9">
        <v>184.0</v>
      </c>
      <c r="I80" s="9">
        <f t="shared" si="2"/>
        <v>736</v>
      </c>
    </row>
    <row r="81" ht="15.75" customHeight="1">
      <c r="A81" s="6">
        <v>45417.0</v>
      </c>
      <c r="B81" s="7">
        <f t="shared" si="1"/>
        <v>45443</v>
      </c>
      <c r="C81" s="8" t="s">
        <v>24</v>
      </c>
      <c r="D81" s="8" t="s">
        <v>19</v>
      </c>
      <c r="E81" s="8" t="s">
        <v>21</v>
      </c>
      <c r="F81" s="8" t="s">
        <v>17</v>
      </c>
      <c r="G81" s="8">
        <v>7.0</v>
      </c>
      <c r="H81" s="9">
        <v>80.0</v>
      </c>
      <c r="I81" s="9">
        <f t="shared" si="2"/>
        <v>560</v>
      </c>
    </row>
    <row r="82" ht="15.75" customHeight="1">
      <c r="A82" s="6">
        <v>45417.0</v>
      </c>
      <c r="B82" s="7">
        <f t="shared" si="1"/>
        <v>45443</v>
      </c>
      <c r="C82" s="8" t="s">
        <v>23</v>
      </c>
      <c r="D82" s="8" t="s">
        <v>10</v>
      </c>
      <c r="E82" s="8" t="s">
        <v>16</v>
      </c>
      <c r="F82" s="8" t="s">
        <v>14</v>
      </c>
      <c r="G82" s="8">
        <v>10.0</v>
      </c>
      <c r="H82" s="9">
        <v>967.0</v>
      </c>
      <c r="I82" s="9">
        <f t="shared" si="2"/>
        <v>9670</v>
      </c>
    </row>
    <row r="83" ht="15.75" customHeight="1">
      <c r="A83" s="6">
        <v>45418.0</v>
      </c>
      <c r="B83" s="7">
        <f t="shared" si="1"/>
        <v>45443</v>
      </c>
      <c r="C83" s="8" t="s">
        <v>20</v>
      </c>
      <c r="D83" s="8" t="s">
        <v>19</v>
      </c>
      <c r="E83" s="8" t="s">
        <v>16</v>
      </c>
      <c r="F83" s="8" t="s">
        <v>22</v>
      </c>
      <c r="G83" s="8">
        <v>13.0</v>
      </c>
      <c r="H83" s="9">
        <v>147.0</v>
      </c>
      <c r="I83" s="9">
        <f t="shared" si="2"/>
        <v>1911</v>
      </c>
    </row>
    <row r="84" ht="15.75" customHeight="1">
      <c r="A84" s="6">
        <v>45419.0</v>
      </c>
      <c r="B84" s="7">
        <f t="shared" si="1"/>
        <v>45443</v>
      </c>
      <c r="C84" s="8" t="s">
        <v>15</v>
      </c>
      <c r="D84" s="8" t="s">
        <v>10</v>
      </c>
      <c r="E84" s="8" t="s">
        <v>13</v>
      </c>
      <c r="F84" s="8" t="s">
        <v>22</v>
      </c>
      <c r="G84" s="8">
        <v>15.0</v>
      </c>
      <c r="H84" s="9">
        <v>3734.0</v>
      </c>
      <c r="I84" s="9">
        <f t="shared" si="2"/>
        <v>56010</v>
      </c>
    </row>
    <row r="85" ht="15.75" customHeight="1">
      <c r="A85" s="6">
        <v>45419.0</v>
      </c>
      <c r="B85" s="7">
        <f t="shared" si="1"/>
        <v>45443</v>
      </c>
      <c r="C85" s="8" t="s">
        <v>20</v>
      </c>
      <c r="D85" s="8" t="s">
        <v>19</v>
      </c>
      <c r="E85" s="8" t="s">
        <v>11</v>
      </c>
      <c r="F85" s="8" t="s">
        <v>12</v>
      </c>
      <c r="G85" s="8">
        <v>4.0</v>
      </c>
      <c r="H85" s="9">
        <v>151.0</v>
      </c>
      <c r="I85" s="9">
        <f t="shared" si="2"/>
        <v>604</v>
      </c>
    </row>
    <row r="86" ht="15.75" customHeight="1">
      <c r="A86" s="6">
        <v>45421.0</v>
      </c>
      <c r="B86" s="7">
        <f t="shared" si="1"/>
        <v>45443</v>
      </c>
      <c r="C86" s="8" t="s">
        <v>15</v>
      </c>
      <c r="D86" s="8" t="s">
        <v>10</v>
      </c>
      <c r="E86" s="8" t="s">
        <v>11</v>
      </c>
      <c r="F86" s="8" t="s">
        <v>17</v>
      </c>
      <c r="G86" s="8">
        <v>7.0</v>
      </c>
      <c r="H86" s="9">
        <v>3553.0</v>
      </c>
      <c r="I86" s="9">
        <f t="shared" si="2"/>
        <v>24871</v>
      </c>
    </row>
    <row r="87" ht="15.75" customHeight="1">
      <c r="A87" s="6">
        <v>45421.0</v>
      </c>
      <c r="B87" s="7">
        <f t="shared" si="1"/>
        <v>45443</v>
      </c>
      <c r="C87" s="8" t="s">
        <v>18</v>
      </c>
      <c r="D87" s="8" t="s">
        <v>19</v>
      </c>
      <c r="E87" s="8" t="s">
        <v>16</v>
      </c>
      <c r="F87" s="8" t="s">
        <v>12</v>
      </c>
      <c r="G87" s="8">
        <v>14.0</v>
      </c>
      <c r="H87" s="9">
        <v>228.0</v>
      </c>
      <c r="I87" s="9">
        <f t="shared" si="2"/>
        <v>3192</v>
      </c>
    </row>
    <row r="88" ht="15.75" customHeight="1">
      <c r="A88" s="6">
        <v>45425.0</v>
      </c>
      <c r="B88" s="7">
        <f t="shared" si="1"/>
        <v>45443</v>
      </c>
      <c r="C88" s="8" t="s">
        <v>20</v>
      </c>
      <c r="D88" s="8" t="s">
        <v>19</v>
      </c>
      <c r="E88" s="8" t="s">
        <v>11</v>
      </c>
      <c r="F88" s="8" t="s">
        <v>17</v>
      </c>
      <c r="G88" s="8">
        <v>8.0</v>
      </c>
      <c r="H88" s="9">
        <v>137.0</v>
      </c>
      <c r="I88" s="9">
        <f t="shared" si="2"/>
        <v>1096</v>
      </c>
    </row>
    <row r="89" ht="15.75" customHeight="1">
      <c r="A89" s="6">
        <v>45430.0</v>
      </c>
      <c r="B89" s="7">
        <f t="shared" si="1"/>
        <v>45443</v>
      </c>
      <c r="C89" s="8" t="s">
        <v>20</v>
      </c>
      <c r="D89" s="8" t="s">
        <v>19</v>
      </c>
      <c r="E89" s="8" t="s">
        <v>13</v>
      </c>
      <c r="F89" s="8" t="s">
        <v>14</v>
      </c>
      <c r="G89" s="8">
        <v>13.0</v>
      </c>
      <c r="H89" s="9">
        <v>153.0</v>
      </c>
      <c r="I89" s="9">
        <f t="shared" si="2"/>
        <v>1989</v>
      </c>
    </row>
    <row r="90" ht="15.75" customHeight="1">
      <c r="A90" s="6">
        <v>45431.0</v>
      </c>
      <c r="B90" s="7">
        <f t="shared" si="1"/>
        <v>45443</v>
      </c>
      <c r="C90" s="8" t="s">
        <v>20</v>
      </c>
      <c r="D90" s="8" t="s">
        <v>19</v>
      </c>
      <c r="E90" s="8" t="s">
        <v>21</v>
      </c>
      <c r="F90" s="8" t="s">
        <v>22</v>
      </c>
      <c r="G90" s="8">
        <v>9.0</v>
      </c>
      <c r="H90" s="9">
        <v>180.0</v>
      </c>
      <c r="I90" s="9">
        <f t="shared" si="2"/>
        <v>1620</v>
      </c>
    </row>
    <row r="91" ht="15.75" customHeight="1">
      <c r="A91" s="6">
        <v>45431.0</v>
      </c>
      <c r="B91" s="7">
        <f t="shared" si="1"/>
        <v>45443</v>
      </c>
      <c r="C91" s="8" t="s">
        <v>23</v>
      </c>
      <c r="D91" s="8" t="s">
        <v>10</v>
      </c>
      <c r="E91" s="8" t="s">
        <v>11</v>
      </c>
      <c r="F91" s="8" t="s">
        <v>14</v>
      </c>
      <c r="G91" s="8">
        <v>13.0</v>
      </c>
      <c r="H91" s="9">
        <v>1350.0</v>
      </c>
      <c r="I91" s="9">
        <f t="shared" si="2"/>
        <v>17550</v>
      </c>
    </row>
    <row r="92" ht="15.75" customHeight="1">
      <c r="A92" s="6">
        <v>45432.0</v>
      </c>
      <c r="B92" s="7">
        <f t="shared" si="1"/>
        <v>45443</v>
      </c>
      <c r="C92" s="8" t="s">
        <v>24</v>
      </c>
      <c r="D92" s="8" t="s">
        <v>19</v>
      </c>
      <c r="E92" s="8" t="s">
        <v>11</v>
      </c>
      <c r="F92" s="8" t="s">
        <v>12</v>
      </c>
      <c r="G92" s="8">
        <v>2.0</v>
      </c>
      <c r="H92" s="9">
        <v>73.0</v>
      </c>
      <c r="I92" s="9">
        <f t="shared" si="2"/>
        <v>146</v>
      </c>
    </row>
    <row r="93" ht="15.75" customHeight="1">
      <c r="A93" s="6">
        <v>45433.0</v>
      </c>
      <c r="B93" s="7">
        <f t="shared" si="1"/>
        <v>45443</v>
      </c>
      <c r="C93" s="8" t="s">
        <v>23</v>
      </c>
      <c r="D93" s="8" t="s">
        <v>10</v>
      </c>
      <c r="E93" s="8" t="s">
        <v>16</v>
      </c>
      <c r="F93" s="8" t="s">
        <v>12</v>
      </c>
      <c r="G93" s="8">
        <v>5.0</v>
      </c>
      <c r="H93" s="9">
        <v>1462.0</v>
      </c>
      <c r="I93" s="9">
        <f t="shared" si="2"/>
        <v>7310</v>
      </c>
    </row>
    <row r="94" ht="15.75" customHeight="1">
      <c r="A94" s="6">
        <v>45434.0</v>
      </c>
      <c r="B94" s="7">
        <f t="shared" si="1"/>
        <v>45443</v>
      </c>
      <c r="C94" s="8" t="s">
        <v>20</v>
      </c>
      <c r="D94" s="8" t="s">
        <v>19</v>
      </c>
      <c r="E94" s="8" t="s">
        <v>11</v>
      </c>
      <c r="F94" s="8" t="s">
        <v>22</v>
      </c>
      <c r="G94" s="8">
        <v>3.0</v>
      </c>
      <c r="H94" s="9">
        <v>166.0</v>
      </c>
      <c r="I94" s="9">
        <f t="shared" si="2"/>
        <v>498</v>
      </c>
    </row>
    <row r="95" ht="15.75" customHeight="1">
      <c r="A95" s="6">
        <v>45434.0</v>
      </c>
      <c r="B95" s="7">
        <f t="shared" si="1"/>
        <v>45443</v>
      </c>
      <c r="C95" s="8" t="s">
        <v>18</v>
      </c>
      <c r="D95" s="8" t="s">
        <v>19</v>
      </c>
      <c r="E95" s="8" t="s">
        <v>11</v>
      </c>
      <c r="F95" s="8" t="s">
        <v>17</v>
      </c>
      <c r="G95" s="8">
        <v>10.0</v>
      </c>
      <c r="H95" s="9">
        <v>236.0</v>
      </c>
      <c r="I95" s="9">
        <f t="shared" si="2"/>
        <v>2360</v>
      </c>
    </row>
    <row r="96" ht="15.75" customHeight="1">
      <c r="A96" s="6">
        <v>45435.0</v>
      </c>
      <c r="B96" s="7">
        <f t="shared" si="1"/>
        <v>45443</v>
      </c>
      <c r="C96" s="8" t="s">
        <v>23</v>
      </c>
      <c r="D96" s="8" t="s">
        <v>10</v>
      </c>
      <c r="E96" s="8" t="s">
        <v>11</v>
      </c>
      <c r="F96" s="8" t="s">
        <v>17</v>
      </c>
      <c r="G96" s="8">
        <v>13.0</v>
      </c>
      <c r="H96" s="9">
        <v>1334.0</v>
      </c>
      <c r="I96" s="9">
        <f t="shared" si="2"/>
        <v>17342</v>
      </c>
    </row>
    <row r="97" ht="15.75" customHeight="1">
      <c r="A97" s="6">
        <v>45437.0</v>
      </c>
      <c r="B97" s="7">
        <f t="shared" si="1"/>
        <v>45443</v>
      </c>
      <c r="C97" s="8" t="s">
        <v>9</v>
      </c>
      <c r="D97" s="8" t="s">
        <v>10</v>
      </c>
      <c r="E97" s="8" t="s">
        <v>16</v>
      </c>
      <c r="F97" s="8" t="s">
        <v>12</v>
      </c>
      <c r="G97" s="8">
        <v>8.0</v>
      </c>
      <c r="H97" s="9">
        <v>1290.0</v>
      </c>
      <c r="I97" s="9">
        <f t="shared" si="2"/>
        <v>10320</v>
      </c>
    </row>
    <row r="98" ht="15.75" customHeight="1">
      <c r="A98" s="6">
        <v>45437.0</v>
      </c>
      <c r="B98" s="7">
        <f t="shared" si="1"/>
        <v>45443</v>
      </c>
      <c r="C98" s="8" t="s">
        <v>9</v>
      </c>
      <c r="D98" s="8" t="s">
        <v>10</v>
      </c>
      <c r="E98" s="8" t="s">
        <v>16</v>
      </c>
      <c r="F98" s="8" t="s">
        <v>22</v>
      </c>
      <c r="G98" s="8">
        <v>8.0</v>
      </c>
      <c r="H98" s="9">
        <v>1101.0</v>
      </c>
      <c r="I98" s="9">
        <f t="shared" si="2"/>
        <v>8808</v>
      </c>
    </row>
    <row r="99" ht="15.75" customHeight="1">
      <c r="A99" s="6">
        <v>45438.0</v>
      </c>
      <c r="B99" s="7">
        <f t="shared" si="1"/>
        <v>45443</v>
      </c>
      <c r="C99" s="8" t="s">
        <v>15</v>
      </c>
      <c r="D99" s="8" t="s">
        <v>10</v>
      </c>
      <c r="E99" s="8" t="s">
        <v>11</v>
      </c>
      <c r="F99" s="8" t="s">
        <v>17</v>
      </c>
      <c r="G99" s="8">
        <v>4.0</v>
      </c>
      <c r="H99" s="9">
        <v>3520.0</v>
      </c>
      <c r="I99" s="9">
        <f t="shared" si="2"/>
        <v>14080</v>
      </c>
    </row>
    <row r="100" ht="15.75" customHeight="1">
      <c r="A100" s="6">
        <v>45440.0</v>
      </c>
      <c r="B100" s="7">
        <f t="shared" si="1"/>
        <v>45443</v>
      </c>
      <c r="C100" s="8" t="s">
        <v>18</v>
      </c>
      <c r="D100" s="8" t="s">
        <v>19</v>
      </c>
      <c r="E100" s="8" t="s">
        <v>11</v>
      </c>
      <c r="F100" s="8" t="s">
        <v>12</v>
      </c>
      <c r="G100" s="8">
        <v>12.0</v>
      </c>
      <c r="H100" s="9">
        <v>185.0</v>
      </c>
      <c r="I100" s="9">
        <f t="shared" si="2"/>
        <v>2220</v>
      </c>
    </row>
    <row r="101" ht="15.75" customHeight="1">
      <c r="A101" s="6">
        <v>45441.0</v>
      </c>
      <c r="B101" s="7">
        <f t="shared" si="1"/>
        <v>45443</v>
      </c>
      <c r="C101" s="8" t="s">
        <v>24</v>
      </c>
      <c r="D101" s="8" t="s">
        <v>19</v>
      </c>
      <c r="E101" s="8" t="s">
        <v>13</v>
      </c>
      <c r="F101" s="8" t="s">
        <v>12</v>
      </c>
      <c r="G101" s="8">
        <v>4.0</v>
      </c>
      <c r="H101" s="9">
        <v>69.0</v>
      </c>
      <c r="I101" s="9">
        <f t="shared" si="2"/>
        <v>276</v>
      </c>
    </row>
    <row r="102" ht="15.75" customHeight="1">
      <c r="A102" s="6">
        <v>45448.0</v>
      </c>
      <c r="B102" s="7">
        <f t="shared" si="1"/>
        <v>45473</v>
      </c>
      <c r="C102" s="8" t="s">
        <v>20</v>
      </c>
      <c r="D102" s="8" t="s">
        <v>19</v>
      </c>
      <c r="E102" s="8" t="s">
        <v>13</v>
      </c>
      <c r="F102" s="8" t="s">
        <v>14</v>
      </c>
      <c r="G102" s="8">
        <v>8.0</v>
      </c>
      <c r="H102" s="9">
        <v>124.0</v>
      </c>
      <c r="I102" s="9">
        <f t="shared" si="2"/>
        <v>992</v>
      </c>
    </row>
    <row r="103" ht="15.75" customHeight="1">
      <c r="A103" s="6">
        <v>45450.0</v>
      </c>
      <c r="B103" s="7">
        <f t="shared" si="1"/>
        <v>45473</v>
      </c>
      <c r="C103" s="8" t="s">
        <v>20</v>
      </c>
      <c r="D103" s="8" t="s">
        <v>19</v>
      </c>
      <c r="E103" s="8" t="s">
        <v>16</v>
      </c>
      <c r="F103" s="8" t="s">
        <v>12</v>
      </c>
      <c r="G103" s="8">
        <v>7.0</v>
      </c>
      <c r="H103" s="9">
        <v>170.0</v>
      </c>
      <c r="I103" s="9">
        <f t="shared" si="2"/>
        <v>1190</v>
      </c>
    </row>
    <row r="104" ht="15.75" customHeight="1">
      <c r="A104" s="6">
        <v>45450.0</v>
      </c>
      <c r="B104" s="7">
        <f t="shared" si="1"/>
        <v>45473</v>
      </c>
      <c r="C104" s="8" t="s">
        <v>24</v>
      </c>
      <c r="D104" s="8" t="s">
        <v>19</v>
      </c>
      <c r="E104" s="8" t="s">
        <v>13</v>
      </c>
      <c r="F104" s="8" t="s">
        <v>14</v>
      </c>
      <c r="G104" s="8">
        <v>11.0</v>
      </c>
      <c r="H104" s="9">
        <v>71.0</v>
      </c>
      <c r="I104" s="9">
        <f t="shared" si="2"/>
        <v>781</v>
      </c>
    </row>
    <row r="105" ht="15.75" customHeight="1">
      <c r="A105" s="6">
        <v>45452.0</v>
      </c>
      <c r="B105" s="7">
        <f t="shared" si="1"/>
        <v>45473</v>
      </c>
      <c r="C105" s="8" t="s">
        <v>18</v>
      </c>
      <c r="D105" s="8" t="s">
        <v>19</v>
      </c>
      <c r="E105" s="8" t="s">
        <v>11</v>
      </c>
      <c r="F105" s="8" t="s">
        <v>17</v>
      </c>
      <c r="G105" s="8">
        <v>13.0</v>
      </c>
      <c r="H105" s="9">
        <v>187.0</v>
      </c>
      <c r="I105" s="9">
        <f t="shared" si="2"/>
        <v>2431</v>
      </c>
    </row>
    <row r="106" ht="15.75" customHeight="1">
      <c r="A106" s="6">
        <v>45455.0</v>
      </c>
      <c r="B106" s="7">
        <f t="shared" si="1"/>
        <v>45473</v>
      </c>
      <c r="C106" s="8" t="s">
        <v>24</v>
      </c>
      <c r="D106" s="8" t="s">
        <v>19</v>
      </c>
      <c r="E106" s="8" t="s">
        <v>11</v>
      </c>
      <c r="F106" s="8" t="s">
        <v>17</v>
      </c>
      <c r="G106" s="8">
        <v>13.0</v>
      </c>
      <c r="H106" s="9">
        <v>68.0</v>
      </c>
      <c r="I106" s="9">
        <f t="shared" si="2"/>
        <v>884</v>
      </c>
    </row>
    <row r="107" ht="15.75" customHeight="1">
      <c r="A107" s="6">
        <v>45455.0</v>
      </c>
      <c r="B107" s="7">
        <f t="shared" si="1"/>
        <v>45473</v>
      </c>
      <c r="C107" s="8" t="s">
        <v>23</v>
      </c>
      <c r="D107" s="8" t="s">
        <v>10</v>
      </c>
      <c r="E107" s="8" t="s">
        <v>16</v>
      </c>
      <c r="F107" s="8" t="s">
        <v>22</v>
      </c>
      <c r="G107" s="8">
        <v>15.0</v>
      </c>
      <c r="H107" s="9">
        <v>1009.0</v>
      </c>
      <c r="I107" s="9">
        <f t="shared" si="2"/>
        <v>15135</v>
      </c>
    </row>
    <row r="108" ht="15.75" customHeight="1">
      <c r="A108" s="6">
        <v>45458.0</v>
      </c>
      <c r="B108" s="7">
        <f t="shared" si="1"/>
        <v>45473</v>
      </c>
      <c r="C108" s="8" t="s">
        <v>20</v>
      </c>
      <c r="D108" s="8" t="s">
        <v>19</v>
      </c>
      <c r="E108" s="8" t="s">
        <v>21</v>
      </c>
      <c r="F108" s="8" t="s">
        <v>12</v>
      </c>
      <c r="G108" s="8">
        <v>1.0</v>
      </c>
      <c r="H108" s="9">
        <v>149.0</v>
      </c>
      <c r="I108" s="9">
        <f t="shared" si="2"/>
        <v>149</v>
      </c>
    </row>
    <row r="109" ht="15.75" customHeight="1">
      <c r="A109" s="6">
        <v>45459.0</v>
      </c>
      <c r="B109" s="7">
        <f t="shared" si="1"/>
        <v>45473</v>
      </c>
      <c r="C109" s="8" t="s">
        <v>24</v>
      </c>
      <c r="D109" s="8" t="s">
        <v>19</v>
      </c>
      <c r="E109" s="8" t="s">
        <v>16</v>
      </c>
      <c r="F109" s="8" t="s">
        <v>14</v>
      </c>
      <c r="G109" s="8">
        <v>9.0</v>
      </c>
      <c r="H109" s="9">
        <v>69.0</v>
      </c>
      <c r="I109" s="9">
        <f t="shared" si="2"/>
        <v>621</v>
      </c>
    </row>
    <row r="110" ht="15.75" customHeight="1">
      <c r="A110" s="6">
        <v>45460.0</v>
      </c>
      <c r="B110" s="7">
        <f t="shared" si="1"/>
        <v>45473</v>
      </c>
      <c r="C110" s="8" t="s">
        <v>18</v>
      </c>
      <c r="D110" s="8" t="s">
        <v>19</v>
      </c>
      <c r="E110" s="8" t="s">
        <v>21</v>
      </c>
      <c r="F110" s="8" t="s">
        <v>22</v>
      </c>
      <c r="G110" s="8">
        <v>1.0</v>
      </c>
      <c r="H110" s="9">
        <v>184.0</v>
      </c>
      <c r="I110" s="9">
        <f t="shared" si="2"/>
        <v>184</v>
      </c>
    </row>
    <row r="111" ht="15.75" customHeight="1">
      <c r="A111" s="6">
        <v>45461.0</v>
      </c>
      <c r="B111" s="7">
        <f t="shared" si="1"/>
        <v>45473</v>
      </c>
      <c r="C111" s="8" t="s">
        <v>24</v>
      </c>
      <c r="D111" s="8" t="s">
        <v>19</v>
      </c>
      <c r="E111" s="8" t="s">
        <v>11</v>
      </c>
      <c r="F111" s="8" t="s">
        <v>14</v>
      </c>
      <c r="G111" s="8">
        <v>10.0</v>
      </c>
      <c r="H111" s="9">
        <v>63.0</v>
      </c>
      <c r="I111" s="9">
        <f t="shared" si="2"/>
        <v>630</v>
      </c>
    </row>
    <row r="112" ht="15.75" customHeight="1">
      <c r="A112" s="6">
        <v>45466.0</v>
      </c>
      <c r="B112" s="7">
        <f t="shared" si="1"/>
        <v>45473</v>
      </c>
      <c r="C112" s="8" t="s">
        <v>23</v>
      </c>
      <c r="D112" s="8" t="s">
        <v>10</v>
      </c>
      <c r="E112" s="8" t="s">
        <v>21</v>
      </c>
      <c r="F112" s="8" t="s">
        <v>12</v>
      </c>
      <c r="G112" s="8">
        <v>1.0</v>
      </c>
      <c r="H112" s="9">
        <v>970.0</v>
      </c>
      <c r="I112" s="9">
        <f t="shared" si="2"/>
        <v>970</v>
      </c>
    </row>
    <row r="113" ht="15.75" customHeight="1">
      <c r="A113" s="6">
        <v>45467.0</v>
      </c>
      <c r="B113" s="7">
        <f t="shared" si="1"/>
        <v>45473</v>
      </c>
      <c r="C113" s="8" t="s">
        <v>9</v>
      </c>
      <c r="D113" s="8" t="s">
        <v>10</v>
      </c>
      <c r="E113" s="8" t="s">
        <v>21</v>
      </c>
      <c r="F113" s="8" t="s">
        <v>22</v>
      </c>
      <c r="G113" s="8">
        <v>7.0</v>
      </c>
      <c r="H113" s="9">
        <v>1164.0</v>
      </c>
      <c r="I113" s="9">
        <f t="shared" si="2"/>
        <v>8148</v>
      </c>
    </row>
    <row r="114" ht="15.75" customHeight="1">
      <c r="A114" s="6">
        <v>45467.0</v>
      </c>
      <c r="B114" s="7">
        <f t="shared" si="1"/>
        <v>45473</v>
      </c>
      <c r="C114" s="8" t="s">
        <v>20</v>
      </c>
      <c r="D114" s="8" t="s">
        <v>19</v>
      </c>
      <c r="E114" s="8" t="s">
        <v>11</v>
      </c>
      <c r="F114" s="8" t="s">
        <v>22</v>
      </c>
      <c r="G114" s="8">
        <v>12.0</v>
      </c>
      <c r="H114" s="9">
        <v>125.0</v>
      </c>
      <c r="I114" s="9">
        <f t="shared" si="2"/>
        <v>1500</v>
      </c>
    </row>
    <row r="115" ht="15.75" customHeight="1">
      <c r="A115" s="6">
        <v>45469.0</v>
      </c>
      <c r="B115" s="7">
        <f t="shared" si="1"/>
        <v>45473</v>
      </c>
      <c r="C115" s="8" t="s">
        <v>9</v>
      </c>
      <c r="D115" s="8" t="s">
        <v>10</v>
      </c>
      <c r="E115" s="8" t="s">
        <v>16</v>
      </c>
      <c r="F115" s="8" t="s">
        <v>22</v>
      </c>
      <c r="G115" s="8">
        <v>12.0</v>
      </c>
      <c r="H115" s="9">
        <v>1151.0</v>
      </c>
      <c r="I115" s="9">
        <f t="shared" si="2"/>
        <v>13812</v>
      </c>
    </row>
    <row r="116" ht="15.75" customHeight="1">
      <c r="A116" s="6">
        <v>45471.0</v>
      </c>
      <c r="B116" s="7">
        <f t="shared" si="1"/>
        <v>45473</v>
      </c>
      <c r="C116" s="8" t="s">
        <v>9</v>
      </c>
      <c r="D116" s="8" t="s">
        <v>10</v>
      </c>
      <c r="E116" s="8" t="s">
        <v>16</v>
      </c>
      <c r="F116" s="8" t="s">
        <v>12</v>
      </c>
      <c r="G116" s="8">
        <v>3.0</v>
      </c>
      <c r="H116" s="9">
        <v>1212.0</v>
      </c>
      <c r="I116" s="9">
        <f t="shared" si="2"/>
        <v>3636</v>
      </c>
    </row>
    <row r="117" ht="15.75" customHeight="1">
      <c r="A117" s="6">
        <v>45472.0</v>
      </c>
      <c r="B117" s="7">
        <f t="shared" si="1"/>
        <v>45473</v>
      </c>
      <c r="C117" s="8" t="s">
        <v>18</v>
      </c>
      <c r="D117" s="8" t="s">
        <v>19</v>
      </c>
      <c r="E117" s="8" t="s">
        <v>16</v>
      </c>
      <c r="F117" s="8" t="s">
        <v>14</v>
      </c>
      <c r="G117" s="8">
        <v>1.0</v>
      </c>
      <c r="H117" s="9">
        <v>216.0</v>
      </c>
      <c r="I117" s="9">
        <f t="shared" si="2"/>
        <v>216</v>
      </c>
    </row>
    <row r="118" ht="15.75" customHeight="1">
      <c r="A118" s="6">
        <v>45477.0</v>
      </c>
      <c r="B118" s="7">
        <f t="shared" si="1"/>
        <v>45504</v>
      </c>
      <c r="C118" s="8" t="s">
        <v>20</v>
      </c>
      <c r="D118" s="8" t="s">
        <v>19</v>
      </c>
      <c r="E118" s="8" t="s">
        <v>13</v>
      </c>
      <c r="F118" s="8" t="s">
        <v>17</v>
      </c>
      <c r="G118" s="8">
        <v>1.0</v>
      </c>
      <c r="H118" s="9">
        <v>142.0</v>
      </c>
      <c r="I118" s="9">
        <f t="shared" si="2"/>
        <v>142</v>
      </c>
    </row>
    <row r="119" ht="15.75" customHeight="1">
      <c r="A119" s="6">
        <v>45478.0</v>
      </c>
      <c r="B119" s="7">
        <f t="shared" si="1"/>
        <v>45504</v>
      </c>
      <c r="C119" s="8" t="s">
        <v>9</v>
      </c>
      <c r="D119" s="8" t="s">
        <v>10</v>
      </c>
      <c r="E119" s="8" t="s">
        <v>16</v>
      </c>
      <c r="F119" s="8" t="s">
        <v>12</v>
      </c>
      <c r="G119" s="8">
        <v>1.0</v>
      </c>
      <c r="H119" s="9">
        <v>1250.0</v>
      </c>
      <c r="I119" s="9">
        <f t="shared" si="2"/>
        <v>1250</v>
      </c>
    </row>
    <row r="120" ht="15.75" customHeight="1">
      <c r="A120" s="6">
        <v>45479.0</v>
      </c>
      <c r="B120" s="7">
        <f t="shared" si="1"/>
        <v>45504</v>
      </c>
      <c r="C120" s="8" t="s">
        <v>24</v>
      </c>
      <c r="D120" s="8" t="s">
        <v>19</v>
      </c>
      <c r="E120" s="8" t="s">
        <v>13</v>
      </c>
      <c r="F120" s="8" t="s">
        <v>14</v>
      </c>
      <c r="G120" s="8">
        <v>12.0</v>
      </c>
      <c r="H120" s="9">
        <v>70.0</v>
      </c>
      <c r="I120" s="9">
        <f t="shared" si="2"/>
        <v>840</v>
      </c>
    </row>
    <row r="121" ht="15.75" customHeight="1">
      <c r="A121" s="6">
        <v>45482.0</v>
      </c>
      <c r="B121" s="7">
        <f t="shared" si="1"/>
        <v>45504</v>
      </c>
      <c r="C121" s="8" t="s">
        <v>9</v>
      </c>
      <c r="D121" s="8" t="s">
        <v>10</v>
      </c>
      <c r="E121" s="8" t="s">
        <v>13</v>
      </c>
      <c r="F121" s="8" t="s">
        <v>14</v>
      </c>
      <c r="G121" s="8">
        <v>1.0</v>
      </c>
      <c r="H121" s="9">
        <v>1110.0</v>
      </c>
      <c r="I121" s="9">
        <f t="shared" si="2"/>
        <v>1110</v>
      </c>
    </row>
    <row r="122" ht="15.75" customHeight="1">
      <c r="A122" s="6">
        <v>45482.0</v>
      </c>
      <c r="B122" s="7">
        <f t="shared" si="1"/>
        <v>45504</v>
      </c>
      <c r="C122" s="8" t="s">
        <v>24</v>
      </c>
      <c r="D122" s="8" t="s">
        <v>19</v>
      </c>
      <c r="E122" s="8" t="s">
        <v>16</v>
      </c>
      <c r="F122" s="8" t="s">
        <v>14</v>
      </c>
      <c r="G122" s="8">
        <v>2.0</v>
      </c>
      <c r="H122" s="9">
        <v>71.0</v>
      </c>
      <c r="I122" s="9">
        <f t="shared" si="2"/>
        <v>142</v>
      </c>
    </row>
    <row r="123" ht="15.75" customHeight="1">
      <c r="A123" s="6">
        <v>45483.0</v>
      </c>
      <c r="B123" s="7">
        <f t="shared" si="1"/>
        <v>45504</v>
      </c>
      <c r="C123" s="8" t="s">
        <v>20</v>
      </c>
      <c r="D123" s="8" t="s">
        <v>19</v>
      </c>
      <c r="E123" s="8" t="s">
        <v>21</v>
      </c>
      <c r="F123" s="8" t="s">
        <v>17</v>
      </c>
      <c r="G123" s="8">
        <v>11.0</v>
      </c>
      <c r="H123" s="9">
        <v>139.0</v>
      </c>
      <c r="I123" s="9">
        <f t="shared" si="2"/>
        <v>1529</v>
      </c>
    </row>
    <row r="124" ht="15.75" customHeight="1">
      <c r="A124" s="6">
        <v>45485.0</v>
      </c>
      <c r="B124" s="7">
        <f t="shared" si="1"/>
        <v>45504</v>
      </c>
      <c r="C124" s="8" t="s">
        <v>18</v>
      </c>
      <c r="D124" s="8" t="s">
        <v>19</v>
      </c>
      <c r="E124" s="8" t="s">
        <v>13</v>
      </c>
      <c r="F124" s="8" t="s">
        <v>14</v>
      </c>
      <c r="G124" s="8">
        <v>9.0</v>
      </c>
      <c r="H124" s="9">
        <v>249.0</v>
      </c>
      <c r="I124" s="9">
        <f t="shared" si="2"/>
        <v>2241</v>
      </c>
    </row>
    <row r="125" ht="15.75" customHeight="1">
      <c r="A125" s="6">
        <v>45488.0</v>
      </c>
      <c r="B125" s="7">
        <f t="shared" si="1"/>
        <v>45504</v>
      </c>
      <c r="C125" s="8" t="s">
        <v>20</v>
      </c>
      <c r="D125" s="8" t="s">
        <v>19</v>
      </c>
      <c r="E125" s="8" t="s">
        <v>16</v>
      </c>
      <c r="F125" s="8" t="s">
        <v>22</v>
      </c>
      <c r="G125" s="8">
        <v>2.0</v>
      </c>
      <c r="H125" s="9">
        <v>132.0</v>
      </c>
      <c r="I125" s="9">
        <f t="shared" si="2"/>
        <v>264</v>
      </c>
    </row>
    <row r="126" ht="15.75" customHeight="1">
      <c r="A126" s="6">
        <v>45489.0</v>
      </c>
      <c r="B126" s="7">
        <f t="shared" si="1"/>
        <v>45504</v>
      </c>
      <c r="C126" s="8" t="s">
        <v>9</v>
      </c>
      <c r="D126" s="8" t="s">
        <v>10</v>
      </c>
      <c r="E126" s="8" t="s">
        <v>11</v>
      </c>
      <c r="F126" s="8" t="s">
        <v>12</v>
      </c>
      <c r="G126" s="8">
        <v>8.0</v>
      </c>
      <c r="H126" s="9">
        <v>1218.0</v>
      </c>
      <c r="I126" s="9">
        <f t="shared" si="2"/>
        <v>9744</v>
      </c>
    </row>
    <row r="127" ht="15.75" customHeight="1">
      <c r="A127" s="6">
        <v>45490.0</v>
      </c>
      <c r="B127" s="7">
        <f t="shared" si="1"/>
        <v>45504</v>
      </c>
      <c r="C127" s="8" t="s">
        <v>23</v>
      </c>
      <c r="D127" s="8" t="s">
        <v>10</v>
      </c>
      <c r="E127" s="8" t="s">
        <v>21</v>
      </c>
      <c r="F127" s="8" t="s">
        <v>12</v>
      </c>
      <c r="G127" s="8">
        <v>3.0</v>
      </c>
      <c r="H127" s="9">
        <v>1127.0</v>
      </c>
      <c r="I127" s="9">
        <f t="shared" si="2"/>
        <v>3381</v>
      </c>
    </row>
    <row r="128" ht="15.75" customHeight="1">
      <c r="A128" s="6">
        <v>45492.0</v>
      </c>
      <c r="B128" s="7">
        <f t="shared" si="1"/>
        <v>45504</v>
      </c>
      <c r="C128" s="8" t="s">
        <v>24</v>
      </c>
      <c r="D128" s="8" t="s">
        <v>19</v>
      </c>
      <c r="E128" s="8" t="s">
        <v>16</v>
      </c>
      <c r="F128" s="8" t="s">
        <v>17</v>
      </c>
      <c r="G128" s="8">
        <v>8.0</v>
      </c>
      <c r="H128" s="9">
        <v>68.0</v>
      </c>
      <c r="I128" s="9">
        <f t="shared" si="2"/>
        <v>544</v>
      </c>
    </row>
    <row r="129" ht="15.75" customHeight="1">
      <c r="A129" s="6">
        <v>45492.0</v>
      </c>
      <c r="B129" s="7">
        <f t="shared" si="1"/>
        <v>45504</v>
      </c>
      <c r="C129" s="8" t="s">
        <v>24</v>
      </c>
      <c r="D129" s="8" t="s">
        <v>19</v>
      </c>
      <c r="E129" s="8" t="s">
        <v>16</v>
      </c>
      <c r="F129" s="8" t="s">
        <v>14</v>
      </c>
      <c r="G129" s="8">
        <v>7.0</v>
      </c>
      <c r="H129" s="9">
        <v>77.0</v>
      </c>
      <c r="I129" s="9">
        <f t="shared" si="2"/>
        <v>539</v>
      </c>
    </row>
    <row r="130" ht="15.75" customHeight="1">
      <c r="A130" s="6">
        <v>45492.0</v>
      </c>
      <c r="B130" s="7">
        <f t="shared" si="1"/>
        <v>45504</v>
      </c>
      <c r="C130" s="8" t="s">
        <v>23</v>
      </c>
      <c r="D130" s="8" t="s">
        <v>10</v>
      </c>
      <c r="E130" s="8" t="s">
        <v>11</v>
      </c>
      <c r="F130" s="8" t="s">
        <v>17</v>
      </c>
      <c r="G130" s="8">
        <v>5.0</v>
      </c>
      <c r="H130" s="9">
        <v>1487.0</v>
      </c>
      <c r="I130" s="9">
        <f t="shared" si="2"/>
        <v>7435</v>
      </c>
    </row>
    <row r="131" ht="15.75" customHeight="1">
      <c r="A131" s="6">
        <v>45493.0</v>
      </c>
      <c r="B131" s="7">
        <f t="shared" si="1"/>
        <v>45504</v>
      </c>
      <c r="C131" s="8" t="s">
        <v>9</v>
      </c>
      <c r="D131" s="8" t="s">
        <v>10</v>
      </c>
      <c r="E131" s="8" t="s">
        <v>13</v>
      </c>
      <c r="F131" s="8" t="s">
        <v>12</v>
      </c>
      <c r="G131" s="8">
        <v>11.0</v>
      </c>
      <c r="H131" s="9">
        <v>1296.0</v>
      </c>
      <c r="I131" s="9">
        <f t="shared" si="2"/>
        <v>14256</v>
      </c>
    </row>
    <row r="132" ht="15.75" customHeight="1">
      <c r="A132" s="6">
        <v>45494.0</v>
      </c>
      <c r="B132" s="7">
        <f t="shared" si="1"/>
        <v>45504</v>
      </c>
      <c r="C132" s="8" t="s">
        <v>15</v>
      </c>
      <c r="D132" s="8" t="s">
        <v>10</v>
      </c>
      <c r="E132" s="8" t="s">
        <v>11</v>
      </c>
      <c r="F132" s="8" t="s">
        <v>12</v>
      </c>
      <c r="G132" s="8">
        <v>13.0</v>
      </c>
      <c r="H132" s="9">
        <v>3789.0</v>
      </c>
      <c r="I132" s="9">
        <f t="shared" si="2"/>
        <v>49257</v>
      </c>
    </row>
    <row r="133" ht="15.75" customHeight="1">
      <c r="A133" s="6">
        <v>45495.0</v>
      </c>
      <c r="B133" s="7">
        <f t="shared" si="1"/>
        <v>45504</v>
      </c>
      <c r="C133" s="8" t="s">
        <v>15</v>
      </c>
      <c r="D133" s="8" t="s">
        <v>10</v>
      </c>
      <c r="E133" s="8" t="s">
        <v>13</v>
      </c>
      <c r="F133" s="8" t="s">
        <v>17</v>
      </c>
      <c r="G133" s="8">
        <v>15.0</v>
      </c>
      <c r="H133" s="9">
        <v>3784.0</v>
      </c>
      <c r="I133" s="9">
        <f t="shared" si="2"/>
        <v>56760</v>
      </c>
    </row>
    <row r="134" ht="15.75" customHeight="1">
      <c r="A134" s="6">
        <v>45497.0</v>
      </c>
      <c r="B134" s="7">
        <f t="shared" si="1"/>
        <v>45504</v>
      </c>
      <c r="C134" s="8" t="s">
        <v>9</v>
      </c>
      <c r="D134" s="8" t="s">
        <v>10</v>
      </c>
      <c r="E134" s="8" t="s">
        <v>11</v>
      </c>
      <c r="F134" s="8" t="s">
        <v>17</v>
      </c>
      <c r="G134" s="8">
        <v>10.0</v>
      </c>
      <c r="H134" s="9">
        <v>1223.0</v>
      </c>
      <c r="I134" s="9">
        <f t="shared" si="2"/>
        <v>12230</v>
      </c>
    </row>
    <row r="135" ht="15.75" customHeight="1">
      <c r="A135" s="6">
        <v>45499.0</v>
      </c>
      <c r="B135" s="7">
        <f t="shared" si="1"/>
        <v>45504</v>
      </c>
      <c r="C135" s="8" t="s">
        <v>20</v>
      </c>
      <c r="D135" s="8" t="s">
        <v>19</v>
      </c>
      <c r="E135" s="8" t="s">
        <v>13</v>
      </c>
      <c r="F135" s="8" t="s">
        <v>14</v>
      </c>
      <c r="G135" s="8">
        <v>7.0</v>
      </c>
      <c r="H135" s="9">
        <v>130.0</v>
      </c>
      <c r="I135" s="9">
        <f t="shared" si="2"/>
        <v>910</v>
      </c>
    </row>
    <row r="136" ht="15.75" customHeight="1">
      <c r="A136" s="6">
        <v>45499.0</v>
      </c>
      <c r="B136" s="7">
        <f t="shared" si="1"/>
        <v>45504</v>
      </c>
      <c r="C136" s="8" t="s">
        <v>9</v>
      </c>
      <c r="D136" s="8" t="s">
        <v>10</v>
      </c>
      <c r="E136" s="8" t="s">
        <v>11</v>
      </c>
      <c r="F136" s="8" t="s">
        <v>22</v>
      </c>
      <c r="G136" s="8">
        <v>10.0</v>
      </c>
      <c r="H136" s="9">
        <v>1259.0</v>
      </c>
      <c r="I136" s="9">
        <f t="shared" si="2"/>
        <v>12590</v>
      </c>
    </row>
    <row r="137" ht="15.75" customHeight="1">
      <c r="A137" s="6">
        <v>45500.0</v>
      </c>
      <c r="B137" s="7">
        <f t="shared" si="1"/>
        <v>45504</v>
      </c>
      <c r="C137" s="8" t="s">
        <v>15</v>
      </c>
      <c r="D137" s="8" t="s">
        <v>10</v>
      </c>
      <c r="E137" s="8" t="s">
        <v>13</v>
      </c>
      <c r="F137" s="8" t="s">
        <v>12</v>
      </c>
      <c r="G137" s="8">
        <v>7.0</v>
      </c>
      <c r="H137" s="9">
        <v>3422.0</v>
      </c>
      <c r="I137" s="9">
        <f t="shared" si="2"/>
        <v>23954</v>
      </c>
    </row>
    <row r="138" ht="15.75" customHeight="1">
      <c r="A138" s="6">
        <v>45501.0</v>
      </c>
      <c r="B138" s="7">
        <f t="shared" si="1"/>
        <v>45504</v>
      </c>
      <c r="C138" s="8" t="s">
        <v>23</v>
      </c>
      <c r="D138" s="8" t="s">
        <v>10</v>
      </c>
      <c r="E138" s="8" t="s">
        <v>13</v>
      </c>
      <c r="F138" s="8" t="s">
        <v>14</v>
      </c>
      <c r="G138" s="8">
        <v>11.0</v>
      </c>
      <c r="H138" s="9">
        <v>1174.0</v>
      </c>
      <c r="I138" s="9">
        <f t="shared" si="2"/>
        <v>12914</v>
      </c>
    </row>
    <row r="139" ht="15.75" customHeight="1">
      <c r="A139" s="6">
        <v>45501.0</v>
      </c>
      <c r="B139" s="7">
        <f t="shared" si="1"/>
        <v>45504</v>
      </c>
      <c r="C139" s="8" t="s">
        <v>23</v>
      </c>
      <c r="D139" s="8" t="s">
        <v>10</v>
      </c>
      <c r="E139" s="8" t="s">
        <v>13</v>
      </c>
      <c r="F139" s="8" t="s">
        <v>22</v>
      </c>
      <c r="G139" s="8">
        <v>3.0</v>
      </c>
      <c r="H139" s="9">
        <v>1158.0</v>
      </c>
      <c r="I139" s="9">
        <f t="shared" si="2"/>
        <v>3474</v>
      </c>
    </row>
    <row r="140" ht="15.75" customHeight="1">
      <c r="A140" s="6">
        <v>45502.0</v>
      </c>
      <c r="B140" s="7">
        <f t="shared" si="1"/>
        <v>45504</v>
      </c>
      <c r="C140" s="8" t="s">
        <v>23</v>
      </c>
      <c r="D140" s="8" t="s">
        <v>10</v>
      </c>
      <c r="E140" s="8" t="s">
        <v>11</v>
      </c>
      <c r="F140" s="8" t="s">
        <v>14</v>
      </c>
      <c r="G140" s="8">
        <v>11.0</v>
      </c>
      <c r="H140" s="9">
        <v>1396.0</v>
      </c>
      <c r="I140" s="9">
        <f t="shared" si="2"/>
        <v>15356</v>
      </c>
    </row>
    <row r="141" ht="15.75" customHeight="1">
      <c r="A141" s="6">
        <v>45502.0</v>
      </c>
      <c r="B141" s="7">
        <f t="shared" si="1"/>
        <v>45504</v>
      </c>
      <c r="C141" s="8" t="s">
        <v>23</v>
      </c>
      <c r="D141" s="8" t="s">
        <v>10</v>
      </c>
      <c r="E141" s="8" t="s">
        <v>21</v>
      </c>
      <c r="F141" s="8" t="s">
        <v>22</v>
      </c>
      <c r="G141" s="8">
        <v>11.0</v>
      </c>
      <c r="H141" s="9">
        <v>1479.0</v>
      </c>
      <c r="I141" s="9">
        <f t="shared" si="2"/>
        <v>16269</v>
      </c>
    </row>
    <row r="142" ht="15.75" customHeight="1">
      <c r="A142" s="6">
        <v>45503.0</v>
      </c>
      <c r="B142" s="7">
        <f t="shared" si="1"/>
        <v>45504</v>
      </c>
      <c r="C142" s="8" t="s">
        <v>23</v>
      </c>
      <c r="D142" s="8" t="s">
        <v>10</v>
      </c>
      <c r="E142" s="8" t="s">
        <v>16</v>
      </c>
      <c r="F142" s="8" t="s">
        <v>17</v>
      </c>
      <c r="G142" s="8">
        <v>3.0</v>
      </c>
      <c r="H142" s="9">
        <v>1370.0</v>
      </c>
      <c r="I142" s="9">
        <f t="shared" si="2"/>
        <v>4110</v>
      </c>
    </row>
    <row r="143" ht="15.75" customHeight="1">
      <c r="A143" s="6">
        <v>45504.0</v>
      </c>
      <c r="B143" s="7">
        <f t="shared" si="1"/>
        <v>45504</v>
      </c>
      <c r="C143" s="8" t="s">
        <v>24</v>
      </c>
      <c r="D143" s="8" t="s">
        <v>19</v>
      </c>
      <c r="E143" s="8" t="s">
        <v>11</v>
      </c>
      <c r="F143" s="8" t="s">
        <v>22</v>
      </c>
      <c r="G143" s="8">
        <v>10.0</v>
      </c>
      <c r="H143" s="9">
        <v>65.0</v>
      </c>
      <c r="I143" s="9">
        <f t="shared" si="2"/>
        <v>650</v>
      </c>
    </row>
    <row r="144" ht="15.75" customHeight="1">
      <c r="A144" s="6">
        <v>45506.0</v>
      </c>
      <c r="B144" s="7">
        <f t="shared" si="1"/>
        <v>45535</v>
      </c>
      <c r="C144" s="8" t="s">
        <v>20</v>
      </c>
      <c r="D144" s="8" t="s">
        <v>19</v>
      </c>
      <c r="E144" s="8" t="s">
        <v>13</v>
      </c>
      <c r="F144" s="8" t="s">
        <v>12</v>
      </c>
      <c r="G144" s="8">
        <v>5.0</v>
      </c>
      <c r="H144" s="9">
        <v>126.0</v>
      </c>
      <c r="I144" s="9">
        <f t="shared" si="2"/>
        <v>630</v>
      </c>
    </row>
    <row r="145" ht="15.75" customHeight="1">
      <c r="A145" s="6">
        <v>45508.0</v>
      </c>
      <c r="B145" s="7">
        <f t="shared" si="1"/>
        <v>45535</v>
      </c>
      <c r="C145" s="8" t="s">
        <v>9</v>
      </c>
      <c r="D145" s="8" t="s">
        <v>10</v>
      </c>
      <c r="E145" s="8" t="s">
        <v>13</v>
      </c>
      <c r="F145" s="8" t="s">
        <v>12</v>
      </c>
      <c r="G145" s="8">
        <v>5.0</v>
      </c>
      <c r="H145" s="9">
        <v>1110.0</v>
      </c>
      <c r="I145" s="9">
        <f t="shared" si="2"/>
        <v>5550</v>
      </c>
    </row>
    <row r="146" ht="15.75" customHeight="1">
      <c r="A146" s="6">
        <v>45510.0</v>
      </c>
      <c r="B146" s="7">
        <f t="shared" si="1"/>
        <v>45535</v>
      </c>
      <c r="C146" s="8" t="s">
        <v>24</v>
      </c>
      <c r="D146" s="8" t="s">
        <v>19</v>
      </c>
      <c r="E146" s="8" t="s">
        <v>16</v>
      </c>
      <c r="F146" s="8" t="s">
        <v>12</v>
      </c>
      <c r="G146" s="8">
        <v>10.0</v>
      </c>
      <c r="H146" s="9">
        <v>61.0</v>
      </c>
      <c r="I146" s="9">
        <f t="shared" si="2"/>
        <v>610</v>
      </c>
    </row>
    <row r="147" ht="15.75" customHeight="1">
      <c r="A147" s="6">
        <v>45511.0</v>
      </c>
      <c r="B147" s="7">
        <f t="shared" si="1"/>
        <v>45535</v>
      </c>
      <c r="C147" s="8" t="s">
        <v>20</v>
      </c>
      <c r="D147" s="8" t="s">
        <v>19</v>
      </c>
      <c r="E147" s="8" t="s">
        <v>13</v>
      </c>
      <c r="F147" s="8" t="s">
        <v>14</v>
      </c>
      <c r="G147" s="8">
        <v>2.0</v>
      </c>
      <c r="H147" s="9">
        <v>169.0</v>
      </c>
      <c r="I147" s="9">
        <f t="shared" si="2"/>
        <v>338</v>
      </c>
    </row>
    <row r="148" ht="15.75" customHeight="1">
      <c r="A148" s="6">
        <v>45512.0</v>
      </c>
      <c r="B148" s="7">
        <f t="shared" si="1"/>
        <v>45535</v>
      </c>
      <c r="C148" s="8" t="s">
        <v>15</v>
      </c>
      <c r="D148" s="8" t="s">
        <v>10</v>
      </c>
      <c r="E148" s="8" t="s">
        <v>13</v>
      </c>
      <c r="F148" s="8" t="s">
        <v>22</v>
      </c>
      <c r="G148" s="8">
        <v>8.0</v>
      </c>
      <c r="H148" s="9">
        <v>3715.0</v>
      </c>
      <c r="I148" s="9">
        <f t="shared" si="2"/>
        <v>29720</v>
      </c>
    </row>
    <row r="149" ht="15.75" customHeight="1">
      <c r="A149" s="6">
        <v>45512.0</v>
      </c>
      <c r="B149" s="7">
        <f t="shared" si="1"/>
        <v>45535</v>
      </c>
      <c r="C149" s="8" t="s">
        <v>15</v>
      </c>
      <c r="D149" s="8" t="s">
        <v>10</v>
      </c>
      <c r="E149" s="8" t="s">
        <v>11</v>
      </c>
      <c r="F149" s="8" t="s">
        <v>12</v>
      </c>
      <c r="G149" s="8">
        <v>15.0</v>
      </c>
      <c r="H149" s="9">
        <v>3793.0</v>
      </c>
      <c r="I149" s="9">
        <f t="shared" si="2"/>
        <v>56895</v>
      </c>
    </row>
    <row r="150" ht="15.75" customHeight="1">
      <c r="A150" s="6">
        <v>45520.0</v>
      </c>
      <c r="B150" s="7">
        <f t="shared" si="1"/>
        <v>45535</v>
      </c>
      <c r="C150" s="8" t="s">
        <v>23</v>
      </c>
      <c r="D150" s="8" t="s">
        <v>10</v>
      </c>
      <c r="E150" s="8" t="s">
        <v>16</v>
      </c>
      <c r="F150" s="8" t="s">
        <v>22</v>
      </c>
      <c r="G150" s="8">
        <v>6.0</v>
      </c>
      <c r="H150" s="9">
        <v>1458.0</v>
      </c>
      <c r="I150" s="9">
        <f t="shared" si="2"/>
        <v>8748</v>
      </c>
    </row>
    <row r="151" ht="15.75" customHeight="1">
      <c r="A151" s="6">
        <v>45523.0</v>
      </c>
      <c r="B151" s="7">
        <f t="shared" si="1"/>
        <v>45535</v>
      </c>
      <c r="C151" s="8" t="s">
        <v>23</v>
      </c>
      <c r="D151" s="8" t="s">
        <v>10</v>
      </c>
      <c r="E151" s="8" t="s">
        <v>16</v>
      </c>
      <c r="F151" s="8" t="s">
        <v>14</v>
      </c>
      <c r="G151" s="8">
        <v>14.0</v>
      </c>
      <c r="H151" s="9">
        <v>1042.0</v>
      </c>
      <c r="I151" s="9">
        <f t="shared" si="2"/>
        <v>14588</v>
      </c>
    </row>
    <row r="152" ht="15.75" customHeight="1">
      <c r="A152" s="6">
        <v>45524.0</v>
      </c>
      <c r="B152" s="7">
        <f t="shared" si="1"/>
        <v>45535</v>
      </c>
      <c r="C152" s="8" t="s">
        <v>15</v>
      </c>
      <c r="D152" s="8" t="s">
        <v>10</v>
      </c>
      <c r="E152" s="8" t="s">
        <v>11</v>
      </c>
      <c r="F152" s="8" t="s">
        <v>17</v>
      </c>
      <c r="G152" s="8">
        <v>9.0</v>
      </c>
      <c r="H152" s="9">
        <v>3637.0</v>
      </c>
      <c r="I152" s="9">
        <f t="shared" si="2"/>
        <v>32733</v>
      </c>
    </row>
    <row r="153" ht="15.75" customHeight="1">
      <c r="A153" s="6">
        <v>45524.0</v>
      </c>
      <c r="B153" s="7">
        <f t="shared" si="1"/>
        <v>45535</v>
      </c>
      <c r="C153" s="8" t="s">
        <v>15</v>
      </c>
      <c r="D153" s="8" t="s">
        <v>10</v>
      </c>
      <c r="E153" s="8" t="s">
        <v>16</v>
      </c>
      <c r="F153" s="8" t="s">
        <v>12</v>
      </c>
      <c r="G153" s="8">
        <v>4.0</v>
      </c>
      <c r="H153" s="9">
        <v>3711.0</v>
      </c>
      <c r="I153" s="9">
        <f t="shared" si="2"/>
        <v>14844</v>
      </c>
    </row>
    <row r="154" ht="15.75" customHeight="1">
      <c r="A154" s="6">
        <v>45525.0</v>
      </c>
      <c r="B154" s="7">
        <f t="shared" si="1"/>
        <v>45535</v>
      </c>
      <c r="C154" s="8" t="s">
        <v>20</v>
      </c>
      <c r="D154" s="8" t="s">
        <v>19</v>
      </c>
      <c r="E154" s="8" t="s">
        <v>11</v>
      </c>
      <c r="F154" s="8" t="s">
        <v>14</v>
      </c>
      <c r="G154" s="8">
        <v>1.0</v>
      </c>
      <c r="H154" s="9">
        <v>163.0</v>
      </c>
      <c r="I154" s="9">
        <f t="shared" si="2"/>
        <v>163</v>
      </c>
    </row>
    <row r="155" ht="15.75" customHeight="1">
      <c r="A155" s="6">
        <v>45528.0</v>
      </c>
      <c r="B155" s="7">
        <f t="shared" si="1"/>
        <v>45535</v>
      </c>
      <c r="C155" s="8" t="s">
        <v>15</v>
      </c>
      <c r="D155" s="8" t="s">
        <v>10</v>
      </c>
      <c r="E155" s="8" t="s">
        <v>21</v>
      </c>
      <c r="F155" s="8" t="s">
        <v>22</v>
      </c>
      <c r="G155" s="8">
        <v>1.0</v>
      </c>
      <c r="H155" s="9">
        <v>3542.0</v>
      </c>
      <c r="I155" s="9">
        <f t="shared" si="2"/>
        <v>3542</v>
      </c>
    </row>
    <row r="156" ht="15.75" customHeight="1">
      <c r="A156" s="6">
        <v>45528.0</v>
      </c>
      <c r="B156" s="7">
        <f t="shared" si="1"/>
        <v>45535</v>
      </c>
      <c r="C156" s="8" t="s">
        <v>15</v>
      </c>
      <c r="D156" s="8" t="s">
        <v>10</v>
      </c>
      <c r="E156" s="8" t="s">
        <v>21</v>
      </c>
      <c r="F156" s="8" t="s">
        <v>17</v>
      </c>
      <c r="G156" s="8">
        <v>14.0</v>
      </c>
      <c r="H156" s="9">
        <v>3429.0</v>
      </c>
      <c r="I156" s="9">
        <f t="shared" si="2"/>
        <v>48006</v>
      </c>
    </row>
    <row r="157" ht="15.75" customHeight="1">
      <c r="A157" s="6">
        <v>45530.0</v>
      </c>
      <c r="B157" s="7">
        <f t="shared" si="1"/>
        <v>45535</v>
      </c>
      <c r="C157" s="8" t="s">
        <v>20</v>
      </c>
      <c r="D157" s="8" t="s">
        <v>19</v>
      </c>
      <c r="E157" s="8" t="s">
        <v>13</v>
      </c>
      <c r="F157" s="8" t="s">
        <v>14</v>
      </c>
      <c r="G157" s="8">
        <v>6.0</v>
      </c>
      <c r="H157" s="9">
        <v>124.0</v>
      </c>
      <c r="I157" s="9">
        <f t="shared" si="2"/>
        <v>744</v>
      </c>
    </row>
    <row r="158" ht="15.75" customHeight="1">
      <c r="A158" s="6">
        <v>45531.0</v>
      </c>
      <c r="B158" s="7">
        <f t="shared" si="1"/>
        <v>45535</v>
      </c>
      <c r="C158" s="8" t="s">
        <v>9</v>
      </c>
      <c r="D158" s="8" t="s">
        <v>10</v>
      </c>
      <c r="E158" s="8" t="s">
        <v>11</v>
      </c>
      <c r="F158" s="8" t="s">
        <v>12</v>
      </c>
      <c r="G158" s="8">
        <v>1.0</v>
      </c>
      <c r="H158" s="9">
        <v>1114.0</v>
      </c>
      <c r="I158" s="9">
        <f t="shared" si="2"/>
        <v>1114</v>
      </c>
    </row>
    <row r="159" ht="15.75" customHeight="1">
      <c r="A159" s="6">
        <v>45532.0</v>
      </c>
      <c r="B159" s="7">
        <f t="shared" si="1"/>
        <v>45535</v>
      </c>
      <c r="C159" s="8" t="s">
        <v>23</v>
      </c>
      <c r="D159" s="8" t="s">
        <v>10</v>
      </c>
      <c r="E159" s="8" t="s">
        <v>11</v>
      </c>
      <c r="F159" s="8" t="s">
        <v>17</v>
      </c>
      <c r="G159" s="8">
        <v>10.0</v>
      </c>
      <c r="H159" s="9">
        <v>1111.0</v>
      </c>
      <c r="I159" s="9">
        <f t="shared" si="2"/>
        <v>11110</v>
      </c>
    </row>
    <row r="160" ht="15.75" customHeight="1">
      <c r="A160" s="6">
        <v>45535.0</v>
      </c>
      <c r="B160" s="7">
        <f t="shared" si="1"/>
        <v>45535</v>
      </c>
      <c r="C160" s="8" t="s">
        <v>20</v>
      </c>
      <c r="D160" s="8" t="s">
        <v>19</v>
      </c>
      <c r="E160" s="8" t="s">
        <v>16</v>
      </c>
      <c r="F160" s="8" t="s">
        <v>22</v>
      </c>
      <c r="G160" s="8">
        <v>5.0</v>
      </c>
      <c r="H160" s="9">
        <v>161.0</v>
      </c>
      <c r="I160" s="9">
        <f t="shared" si="2"/>
        <v>805</v>
      </c>
    </row>
    <row r="161" ht="15.75" customHeight="1">
      <c r="A161" s="6">
        <v>45536.0</v>
      </c>
      <c r="B161" s="7">
        <f t="shared" si="1"/>
        <v>45565</v>
      </c>
      <c r="C161" s="8" t="s">
        <v>24</v>
      </c>
      <c r="D161" s="8" t="s">
        <v>19</v>
      </c>
      <c r="E161" s="8" t="s">
        <v>21</v>
      </c>
      <c r="F161" s="8" t="s">
        <v>14</v>
      </c>
      <c r="G161" s="8">
        <v>7.0</v>
      </c>
      <c r="H161" s="9">
        <v>81.0</v>
      </c>
      <c r="I161" s="9">
        <f t="shared" si="2"/>
        <v>567</v>
      </c>
    </row>
    <row r="162" ht="15.75" customHeight="1">
      <c r="A162" s="6">
        <v>45540.0</v>
      </c>
      <c r="B162" s="7">
        <f t="shared" si="1"/>
        <v>45565</v>
      </c>
      <c r="C162" s="8" t="s">
        <v>23</v>
      </c>
      <c r="D162" s="8" t="s">
        <v>10</v>
      </c>
      <c r="E162" s="8" t="s">
        <v>16</v>
      </c>
      <c r="F162" s="8" t="s">
        <v>17</v>
      </c>
      <c r="G162" s="8">
        <v>13.0</v>
      </c>
      <c r="H162" s="9">
        <v>930.0</v>
      </c>
      <c r="I162" s="9">
        <f t="shared" si="2"/>
        <v>12090</v>
      </c>
    </row>
    <row r="163" ht="15.75" customHeight="1">
      <c r="A163" s="6">
        <v>45540.0</v>
      </c>
      <c r="B163" s="7">
        <f t="shared" si="1"/>
        <v>45565</v>
      </c>
      <c r="C163" s="8" t="s">
        <v>23</v>
      </c>
      <c r="D163" s="8" t="s">
        <v>10</v>
      </c>
      <c r="E163" s="8" t="s">
        <v>13</v>
      </c>
      <c r="F163" s="8" t="s">
        <v>12</v>
      </c>
      <c r="G163" s="8">
        <v>9.0</v>
      </c>
      <c r="H163" s="9">
        <v>1061.0</v>
      </c>
      <c r="I163" s="9">
        <f t="shared" si="2"/>
        <v>9549</v>
      </c>
    </row>
    <row r="164" ht="15.75" customHeight="1">
      <c r="A164" s="6">
        <v>45543.0</v>
      </c>
      <c r="B164" s="7">
        <f t="shared" si="1"/>
        <v>45565</v>
      </c>
      <c r="C164" s="8" t="s">
        <v>20</v>
      </c>
      <c r="D164" s="8" t="s">
        <v>19</v>
      </c>
      <c r="E164" s="8" t="s">
        <v>13</v>
      </c>
      <c r="F164" s="8" t="s">
        <v>14</v>
      </c>
      <c r="G164" s="8">
        <v>7.0</v>
      </c>
      <c r="H164" s="9">
        <v>167.0</v>
      </c>
      <c r="I164" s="9">
        <f t="shared" si="2"/>
        <v>1169</v>
      </c>
    </row>
    <row r="165" ht="15.75" customHeight="1">
      <c r="A165" s="6">
        <v>45545.0</v>
      </c>
      <c r="B165" s="7">
        <f t="shared" si="1"/>
        <v>45565</v>
      </c>
      <c r="C165" s="8" t="s">
        <v>20</v>
      </c>
      <c r="D165" s="8" t="s">
        <v>19</v>
      </c>
      <c r="E165" s="8" t="s">
        <v>11</v>
      </c>
      <c r="F165" s="8" t="s">
        <v>22</v>
      </c>
      <c r="G165" s="8">
        <v>4.0</v>
      </c>
      <c r="H165" s="9">
        <v>135.0</v>
      </c>
      <c r="I165" s="9">
        <f t="shared" si="2"/>
        <v>540</v>
      </c>
    </row>
    <row r="166" ht="15.75" customHeight="1">
      <c r="A166" s="6">
        <v>45545.0</v>
      </c>
      <c r="B166" s="7">
        <f t="shared" si="1"/>
        <v>45565</v>
      </c>
      <c r="C166" s="8" t="s">
        <v>18</v>
      </c>
      <c r="D166" s="8" t="s">
        <v>19</v>
      </c>
      <c r="E166" s="8" t="s">
        <v>16</v>
      </c>
      <c r="F166" s="8" t="s">
        <v>14</v>
      </c>
      <c r="G166" s="8">
        <v>3.0</v>
      </c>
      <c r="H166" s="9">
        <v>183.0</v>
      </c>
      <c r="I166" s="9">
        <f t="shared" si="2"/>
        <v>549</v>
      </c>
    </row>
    <row r="167" ht="15.75" customHeight="1">
      <c r="A167" s="6">
        <v>45547.0</v>
      </c>
      <c r="B167" s="7">
        <f t="shared" si="1"/>
        <v>45565</v>
      </c>
      <c r="C167" s="8" t="s">
        <v>9</v>
      </c>
      <c r="D167" s="8" t="s">
        <v>10</v>
      </c>
      <c r="E167" s="8" t="s">
        <v>21</v>
      </c>
      <c r="F167" s="8" t="s">
        <v>22</v>
      </c>
      <c r="G167" s="8">
        <v>13.0</v>
      </c>
      <c r="H167" s="9">
        <v>1263.0</v>
      </c>
      <c r="I167" s="9">
        <f t="shared" si="2"/>
        <v>16419</v>
      </c>
    </row>
    <row r="168" ht="15.75" customHeight="1">
      <c r="A168" s="6">
        <v>45548.0</v>
      </c>
      <c r="B168" s="7">
        <f t="shared" si="1"/>
        <v>45565</v>
      </c>
      <c r="C168" s="8" t="s">
        <v>23</v>
      </c>
      <c r="D168" s="8" t="s">
        <v>10</v>
      </c>
      <c r="E168" s="8" t="s">
        <v>11</v>
      </c>
      <c r="F168" s="8" t="s">
        <v>12</v>
      </c>
      <c r="G168" s="8">
        <v>1.0</v>
      </c>
      <c r="H168" s="9">
        <v>952.0</v>
      </c>
      <c r="I168" s="9">
        <f t="shared" si="2"/>
        <v>952</v>
      </c>
    </row>
    <row r="169" ht="15.75" customHeight="1">
      <c r="A169" s="6">
        <v>45548.0</v>
      </c>
      <c r="B169" s="7">
        <f t="shared" si="1"/>
        <v>45565</v>
      </c>
      <c r="C169" s="8" t="s">
        <v>20</v>
      </c>
      <c r="D169" s="8" t="s">
        <v>19</v>
      </c>
      <c r="E169" s="8" t="s">
        <v>11</v>
      </c>
      <c r="F169" s="8" t="s">
        <v>17</v>
      </c>
      <c r="G169" s="8">
        <v>15.0</v>
      </c>
      <c r="H169" s="9">
        <v>121.0</v>
      </c>
      <c r="I169" s="9">
        <f t="shared" si="2"/>
        <v>1815</v>
      </c>
    </row>
    <row r="170" ht="15.75" customHeight="1">
      <c r="A170" s="6">
        <v>45549.0</v>
      </c>
      <c r="B170" s="7">
        <f t="shared" si="1"/>
        <v>45565</v>
      </c>
      <c r="C170" s="8" t="s">
        <v>9</v>
      </c>
      <c r="D170" s="8" t="s">
        <v>10</v>
      </c>
      <c r="E170" s="8" t="s">
        <v>11</v>
      </c>
      <c r="F170" s="8" t="s">
        <v>12</v>
      </c>
      <c r="G170" s="8">
        <v>11.0</v>
      </c>
      <c r="H170" s="9">
        <v>1277.0</v>
      </c>
      <c r="I170" s="9">
        <f t="shared" si="2"/>
        <v>14047</v>
      </c>
    </row>
    <row r="171" ht="15.75" customHeight="1">
      <c r="A171" s="6">
        <v>45551.0</v>
      </c>
      <c r="B171" s="7">
        <f t="shared" si="1"/>
        <v>45565</v>
      </c>
      <c r="C171" s="8" t="s">
        <v>20</v>
      </c>
      <c r="D171" s="8" t="s">
        <v>19</v>
      </c>
      <c r="E171" s="8" t="s">
        <v>13</v>
      </c>
      <c r="F171" s="8" t="s">
        <v>17</v>
      </c>
      <c r="G171" s="8">
        <v>14.0</v>
      </c>
      <c r="H171" s="9">
        <v>132.0</v>
      </c>
      <c r="I171" s="9">
        <f t="shared" si="2"/>
        <v>1848</v>
      </c>
    </row>
    <row r="172" ht="15.75" customHeight="1">
      <c r="A172" s="6">
        <v>45552.0</v>
      </c>
      <c r="B172" s="7">
        <f t="shared" si="1"/>
        <v>45565</v>
      </c>
      <c r="C172" s="8" t="s">
        <v>9</v>
      </c>
      <c r="D172" s="8" t="s">
        <v>10</v>
      </c>
      <c r="E172" s="8" t="s">
        <v>16</v>
      </c>
      <c r="F172" s="8" t="s">
        <v>17</v>
      </c>
      <c r="G172" s="8">
        <v>3.0</v>
      </c>
      <c r="H172" s="9">
        <v>1142.0</v>
      </c>
      <c r="I172" s="9">
        <f t="shared" si="2"/>
        <v>3426</v>
      </c>
    </row>
    <row r="173" ht="15.75" customHeight="1">
      <c r="A173" s="6">
        <v>45554.0</v>
      </c>
      <c r="B173" s="7">
        <f t="shared" si="1"/>
        <v>45565</v>
      </c>
      <c r="C173" s="8" t="s">
        <v>9</v>
      </c>
      <c r="D173" s="8" t="s">
        <v>10</v>
      </c>
      <c r="E173" s="8" t="s">
        <v>16</v>
      </c>
      <c r="F173" s="8" t="s">
        <v>14</v>
      </c>
      <c r="G173" s="8">
        <v>5.0</v>
      </c>
      <c r="H173" s="9">
        <v>1118.0</v>
      </c>
      <c r="I173" s="9">
        <f t="shared" si="2"/>
        <v>5590</v>
      </c>
    </row>
    <row r="174" ht="15.75" customHeight="1">
      <c r="A174" s="6">
        <v>45555.0</v>
      </c>
      <c r="B174" s="7">
        <f t="shared" si="1"/>
        <v>45565</v>
      </c>
      <c r="C174" s="8" t="s">
        <v>9</v>
      </c>
      <c r="D174" s="8" t="s">
        <v>10</v>
      </c>
      <c r="E174" s="8" t="s">
        <v>21</v>
      </c>
      <c r="F174" s="8" t="s">
        <v>12</v>
      </c>
      <c r="G174" s="8">
        <v>8.0</v>
      </c>
      <c r="H174" s="9">
        <v>1249.0</v>
      </c>
      <c r="I174" s="9">
        <f t="shared" si="2"/>
        <v>9992</v>
      </c>
    </row>
    <row r="175" ht="15.75" customHeight="1">
      <c r="A175" s="6">
        <v>45555.0</v>
      </c>
      <c r="B175" s="7">
        <f t="shared" si="1"/>
        <v>45565</v>
      </c>
      <c r="C175" s="8" t="s">
        <v>23</v>
      </c>
      <c r="D175" s="8" t="s">
        <v>10</v>
      </c>
      <c r="E175" s="8" t="s">
        <v>11</v>
      </c>
      <c r="F175" s="8" t="s">
        <v>17</v>
      </c>
      <c r="G175" s="8">
        <v>14.0</v>
      </c>
      <c r="H175" s="9">
        <v>1008.0</v>
      </c>
      <c r="I175" s="9">
        <f t="shared" si="2"/>
        <v>14112</v>
      </c>
    </row>
    <row r="176" ht="15.75" customHeight="1">
      <c r="A176" s="6">
        <v>45556.0</v>
      </c>
      <c r="B176" s="7">
        <f t="shared" si="1"/>
        <v>45565</v>
      </c>
      <c r="C176" s="8" t="s">
        <v>18</v>
      </c>
      <c r="D176" s="8" t="s">
        <v>19</v>
      </c>
      <c r="E176" s="8" t="s">
        <v>13</v>
      </c>
      <c r="F176" s="8" t="s">
        <v>17</v>
      </c>
      <c r="G176" s="8">
        <v>9.0</v>
      </c>
      <c r="H176" s="9">
        <v>245.0</v>
      </c>
      <c r="I176" s="9">
        <f t="shared" si="2"/>
        <v>2205</v>
      </c>
    </row>
    <row r="177" ht="15.75" customHeight="1">
      <c r="A177" s="6">
        <v>45559.0</v>
      </c>
      <c r="B177" s="7">
        <f t="shared" si="1"/>
        <v>45565</v>
      </c>
      <c r="C177" s="8" t="s">
        <v>18</v>
      </c>
      <c r="D177" s="8" t="s">
        <v>19</v>
      </c>
      <c r="E177" s="8" t="s">
        <v>13</v>
      </c>
      <c r="F177" s="8" t="s">
        <v>12</v>
      </c>
      <c r="G177" s="8">
        <v>6.0</v>
      </c>
      <c r="H177" s="9">
        <v>260.0</v>
      </c>
      <c r="I177" s="9">
        <f t="shared" si="2"/>
        <v>1560</v>
      </c>
    </row>
    <row r="178" ht="15.75" customHeight="1">
      <c r="A178" s="6">
        <v>45561.0</v>
      </c>
      <c r="B178" s="7">
        <f t="shared" si="1"/>
        <v>45565</v>
      </c>
      <c r="C178" s="8" t="s">
        <v>18</v>
      </c>
      <c r="D178" s="8" t="s">
        <v>19</v>
      </c>
      <c r="E178" s="8" t="s">
        <v>16</v>
      </c>
      <c r="F178" s="8" t="s">
        <v>22</v>
      </c>
      <c r="G178" s="8">
        <v>9.0</v>
      </c>
      <c r="H178" s="9">
        <v>192.0</v>
      </c>
      <c r="I178" s="9">
        <f t="shared" si="2"/>
        <v>1728</v>
      </c>
    </row>
    <row r="179" ht="15.75" customHeight="1">
      <c r="A179" s="6">
        <v>45561.0</v>
      </c>
      <c r="B179" s="7">
        <f t="shared" si="1"/>
        <v>45565</v>
      </c>
      <c r="C179" s="8" t="s">
        <v>15</v>
      </c>
      <c r="D179" s="8" t="s">
        <v>10</v>
      </c>
      <c r="E179" s="8" t="s">
        <v>11</v>
      </c>
      <c r="F179" s="8" t="s">
        <v>17</v>
      </c>
      <c r="G179" s="8">
        <v>3.0</v>
      </c>
      <c r="H179" s="9">
        <v>3487.0</v>
      </c>
      <c r="I179" s="9">
        <f t="shared" si="2"/>
        <v>10461</v>
      </c>
    </row>
    <row r="180" ht="15.75" customHeight="1">
      <c r="A180" s="6">
        <v>45561.0</v>
      </c>
      <c r="B180" s="7">
        <f t="shared" si="1"/>
        <v>45565</v>
      </c>
      <c r="C180" s="8" t="s">
        <v>9</v>
      </c>
      <c r="D180" s="8" t="s">
        <v>10</v>
      </c>
      <c r="E180" s="8" t="s">
        <v>21</v>
      </c>
      <c r="F180" s="8" t="s">
        <v>12</v>
      </c>
      <c r="G180" s="8">
        <v>7.0</v>
      </c>
      <c r="H180" s="9">
        <v>1159.0</v>
      </c>
      <c r="I180" s="9">
        <f t="shared" si="2"/>
        <v>8113</v>
      </c>
    </row>
    <row r="181" ht="15.75" customHeight="1">
      <c r="A181" s="6">
        <v>45562.0</v>
      </c>
      <c r="B181" s="7">
        <f t="shared" si="1"/>
        <v>45565</v>
      </c>
      <c r="C181" s="8" t="s">
        <v>23</v>
      </c>
      <c r="D181" s="8" t="s">
        <v>10</v>
      </c>
      <c r="E181" s="8" t="s">
        <v>11</v>
      </c>
      <c r="F181" s="8" t="s">
        <v>17</v>
      </c>
      <c r="G181" s="8">
        <v>11.0</v>
      </c>
      <c r="H181" s="9">
        <v>950.0</v>
      </c>
      <c r="I181" s="9">
        <f t="shared" si="2"/>
        <v>10450</v>
      </c>
    </row>
    <row r="182" ht="15.75" customHeight="1">
      <c r="A182" s="6">
        <v>45562.0</v>
      </c>
      <c r="B182" s="7">
        <f t="shared" si="1"/>
        <v>45565</v>
      </c>
      <c r="C182" s="8" t="s">
        <v>23</v>
      </c>
      <c r="D182" s="8" t="s">
        <v>10</v>
      </c>
      <c r="E182" s="8" t="s">
        <v>16</v>
      </c>
      <c r="F182" s="8" t="s">
        <v>14</v>
      </c>
      <c r="G182" s="8">
        <v>8.0</v>
      </c>
      <c r="H182" s="9">
        <v>1106.0</v>
      </c>
      <c r="I182" s="9">
        <f t="shared" si="2"/>
        <v>8848</v>
      </c>
    </row>
    <row r="183" ht="15.75" customHeight="1">
      <c r="A183" s="6">
        <v>45565.0</v>
      </c>
      <c r="B183" s="7">
        <f t="shared" si="1"/>
        <v>45565</v>
      </c>
      <c r="C183" s="8" t="s">
        <v>20</v>
      </c>
      <c r="D183" s="8" t="s">
        <v>19</v>
      </c>
      <c r="E183" s="8" t="s">
        <v>21</v>
      </c>
      <c r="F183" s="8" t="s">
        <v>17</v>
      </c>
      <c r="G183" s="8">
        <v>12.0</v>
      </c>
      <c r="H183" s="9">
        <v>166.0</v>
      </c>
      <c r="I183" s="9">
        <f t="shared" si="2"/>
        <v>1992</v>
      </c>
    </row>
    <row r="184" ht="15.75" customHeight="1">
      <c r="A184" s="6">
        <v>45565.0</v>
      </c>
      <c r="B184" s="7">
        <f t="shared" si="1"/>
        <v>45565</v>
      </c>
      <c r="C184" s="8" t="s">
        <v>24</v>
      </c>
      <c r="D184" s="8" t="s">
        <v>19</v>
      </c>
      <c r="E184" s="8" t="s">
        <v>11</v>
      </c>
      <c r="F184" s="8" t="s">
        <v>12</v>
      </c>
      <c r="G184" s="8">
        <v>14.0</v>
      </c>
      <c r="H184" s="9">
        <v>85.0</v>
      </c>
      <c r="I184" s="9">
        <f t="shared" si="2"/>
        <v>1190</v>
      </c>
    </row>
    <row r="185" ht="15.75" customHeight="1">
      <c r="A185" s="6">
        <v>45565.0</v>
      </c>
      <c r="B185" s="7">
        <f t="shared" si="1"/>
        <v>45565</v>
      </c>
      <c r="C185" s="8" t="s">
        <v>20</v>
      </c>
      <c r="D185" s="8" t="s">
        <v>19</v>
      </c>
      <c r="E185" s="8" t="s">
        <v>11</v>
      </c>
      <c r="F185" s="8" t="s">
        <v>14</v>
      </c>
      <c r="G185" s="8">
        <v>10.0</v>
      </c>
      <c r="H185" s="9">
        <v>129.0</v>
      </c>
      <c r="I185" s="9">
        <f t="shared" si="2"/>
        <v>1290</v>
      </c>
    </row>
    <row r="186" ht="15.75" customHeight="1">
      <c r="A186" s="6">
        <v>45571.0</v>
      </c>
      <c r="B186" s="7">
        <f t="shared" si="1"/>
        <v>45596</v>
      </c>
      <c r="C186" s="8" t="s">
        <v>9</v>
      </c>
      <c r="D186" s="8" t="s">
        <v>10</v>
      </c>
      <c r="E186" s="8" t="s">
        <v>16</v>
      </c>
      <c r="F186" s="8" t="s">
        <v>22</v>
      </c>
      <c r="G186" s="8">
        <v>6.0</v>
      </c>
      <c r="H186" s="9">
        <v>1270.0</v>
      </c>
      <c r="I186" s="9">
        <f t="shared" si="2"/>
        <v>7620</v>
      </c>
    </row>
    <row r="187" ht="15.75" customHeight="1">
      <c r="A187" s="6">
        <v>45573.0</v>
      </c>
      <c r="B187" s="7">
        <f t="shared" si="1"/>
        <v>45596</v>
      </c>
      <c r="C187" s="8" t="s">
        <v>15</v>
      </c>
      <c r="D187" s="8" t="s">
        <v>10</v>
      </c>
      <c r="E187" s="8" t="s">
        <v>21</v>
      </c>
      <c r="F187" s="8" t="s">
        <v>17</v>
      </c>
      <c r="G187" s="8">
        <v>5.0</v>
      </c>
      <c r="H187" s="9">
        <v>3518.0</v>
      </c>
      <c r="I187" s="9">
        <f t="shared" si="2"/>
        <v>17590</v>
      </c>
    </row>
    <row r="188" ht="15.75" customHeight="1">
      <c r="A188" s="6">
        <v>45576.0</v>
      </c>
      <c r="B188" s="7">
        <f t="shared" si="1"/>
        <v>45596</v>
      </c>
      <c r="C188" s="8" t="s">
        <v>9</v>
      </c>
      <c r="D188" s="8" t="s">
        <v>10</v>
      </c>
      <c r="E188" s="8" t="s">
        <v>13</v>
      </c>
      <c r="F188" s="8" t="s">
        <v>17</v>
      </c>
      <c r="G188" s="8">
        <v>11.0</v>
      </c>
      <c r="H188" s="9">
        <v>1276.0</v>
      </c>
      <c r="I188" s="9">
        <f t="shared" si="2"/>
        <v>14036</v>
      </c>
    </row>
    <row r="189" ht="15.75" customHeight="1">
      <c r="A189" s="6">
        <v>45576.0</v>
      </c>
      <c r="B189" s="7">
        <f t="shared" si="1"/>
        <v>45596</v>
      </c>
      <c r="C189" s="8" t="s">
        <v>20</v>
      </c>
      <c r="D189" s="8" t="s">
        <v>19</v>
      </c>
      <c r="E189" s="8" t="s">
        <v>11</v>
      </c>
      <c r="F189" s="8" t="s">
        <v>17</v>
      </c>
      <c r="G189" s="8">
        <v>4.0</v>
      </c>
      <c r="H189" s="9">
        <v>173.0</v>
      </c>
      <c r="I189" s="9">
        <f t="shared" si="2"/>
        <v>692</v>
      </c>
    </row>
    <row r="190" ht="15.75" customHeight="1">
      <c r="A190" s="6">
        <v>45577.0</v>
      </c>
      <c r="B190" s="7">
        <f t="shared" si="1"/>
        <v>45596</v>
      </c>
      <c r="C190" s="8" t="s">
        <v>20</v>
      </c>
      <c r="D190" s="8" t="s">
        <v>19</v>
      </c>
      <c r="E190" s="8" t="s">
        <v>21</v>
      </c>
      <c r="F190" s="8" t="s">
        <v>22</v>
      </c>
      <c r="G190" s="8">
        <v>5.0</v>
      </c>
      <c r="H190" s="9">
        <v>122.0</v>
      </c>
      <c r="I190" s="9">
        <f t="shared" si="2"/>
        <v>610</v>
      </c>
    </row>
    <row r="191" ht="15.75" customHeight="1">
      <c r="A191" s="6">
        <v>45581.0</v>
      </c>
      <c r="B191" s="7">
        <f t="shared" si="1"/>
        <v>45596</v>
      </c>
      <c r="C191" s="8" t="s">
        <v>20</v>
      </c>
      <c r="D191" s="8" t="s">
        <v>19</v>
      </c>
      <c r="E191" s="8" t="s">
        <v>13</v>
      </c>
      <c r="F191" s="8" t="s">
        <v>12</v>
      </c>
      <c r="G191" s="8">
        <v>3.0</v>
      </c>
      <c r="H191" s="9">
        <v>146.0</v>
      </c>
      <c r="I191" s="9">
        <f t="shared" si="2"/>
        <v>438</v>
      </c>
    </row>
    <row r="192" ht="15.75" customHeight="1">
      <c r="A192" s="6">
        <v>45581.0</v>
      </c>
      <c r="B192" s="7">
        <f t="shared" si="1"/>
        <v>45596</v>
      </c>
      <c r="C192" s="8" t="s">
        <v>24</v>
      </c>
      <c r="D192" s="8" t="s">
        <v>19</v>
      </c>
      <c r="E192" s="8" t="s">
        <v>11</v>
      </c>
      <c r="F192" s="8" t="s">
        <v>17</v>
      </c>
      <c r="G192" s="8">
        <v>3.0</v>
      </c>
      <c r="H192" s="9">
        <v>88.0</v>
      </c>
      <c r="I192" s="9">
        <f t="shared" si="2"/>
        <v>264</v>
      </c>
    </row>
    <row r="193" ht="15.75" customHeight="1">
      <c r="A193" s="6">
        <v>45581.0</v>
      </c>
      <c r="B193" s="7">
        <f t="shared" si="1"/>
        <v>45596</v>
      </c>
      <c r="C193" s="8" t="s">
        <v>18</v>
      </c>
      <c r="D193" s="8" t="s">
        <v>19</v>
      </c>
      <c r="E193" s="8" t="s">
        <v>11</v>
      </c>
      <c r="F193" s="8" t="s">
        <v>22</v>
      </c>
      <c r="G193" s="8">
        <v>15.0</v>
      </c>
      <c r="H193" s="9">
        <v>199.0</v>
      </c>
      <c r="I193" s="9">
        <f t="shared" si="2"/>
        <v>2985</v>
      </c>
    </row>
    <row r="194" ht="15.75" customHeight="1">
      <c r="A194" s="6">
        <v>45583.0</v>
      </c>
      <c r="B194" s="7">
        <f t="shared" si="1"/>
        <v>45596</v>
      </c>
      <c r="C194" s="8" t="s">
        <v>23</v>
      </c>
      <c r="D194" s="8" t="s">
        <v>10</v>
      </c>
      <c r="E194" s="8" t="s">
        <v>16</v>
      </c>
      <c r="F194" s="8" t="s">
        <v>22</v>
      </c>
      <c r="G194" s="8">
        <v>2.0</v>
      </c>
      <c r="H194" s="9">
        <v>1340.0</v>
      </c>
      <c r="I194" s="9">
        <f t="shared" si="2"/>
        <v>2680</v>
      </c>
    </row>
    <row r="195" ht="15.75" customHeight="1">
      <c r="A195" s="6">
        <v>45587.0</v>
      </c>
      <c r="B195" s="7">
        <f t="shared" si="1"/>
        <v>45596</v>
      </c>
      <c r="C195" s="8" t="s">
        <v>24</v>
      </c>
      <c r="D195" s="8" t="s">
        <v>19</v>
      </c>
      <c r="E195" s="8" t="s">
        <v>16</v>
      </c>
      <c r="F195" s="8" t="s">
        <v>14</v>
      </c>
      <c r="G195" s="8">
        <v>11.0</v>
      </c>
      <c r="H195" s="9">
        <v>77.0</v>
      </c>
      <c r="I195" s="9">
        <f t="shared" si="2"/>
        <v>847</v>
      </c>
    </row>
    <row r="196" ht="15.75" customHeight="1">
      <c r="A196" s="6">
        <v>45589.0</v>
      </c>
      <c r="B196" s="7">
        <f t="shared" si="1"/>
        <v>45596</v>
      </c>
      <c r="C196" s="8" t="s">
        <v>18</v>
      </c>
      <c r="D196" s="8" t="s">
        <v>19</v>
      </c>
      <c r="E196" s="8" t="s">
        <v>13</v>
      </c>
      <c r="F196" s="8" t="s">
        <v>22</v>
      </c>
      <c r="G196" s="8">
        <v>15.0</v>
      </c>
      <c r="H196" s="9">
        <v>204.0</v>
      </c>
      <c r="I196" s="9">
        <f t="shared" si="2"/>
        <v>3060</v>
      </c>
    </row>
    <row r="197" ht="15.75" customHeight="1">
      <c r="A197" s="6">
        <v>45590.0</v>
      </c>
      <c r="B197" s="7">
        <f t="shared" si="1"/>
        <v>45596</v>
      </c>
      <c r="C197" s="8" t="s">
        <v>24</v>
      </c>
      <c r="D197" s="8" t="s">
        <v>19</v>
      </c>
      <c r="E197" s="8" t="s">
        <v>11</v>
      </c>
      <c r="F197" s="8" t="s">
        <v>17</v>
      </c>
      <c r="G197" s="8">
        <v>10.0</v>
      </c>
      <c r="H197" s="9">
        <v>67.0</v>
      </c>
      <c r="I197" s="9">
        <f t="shared" si="2"/>
        <v>670</v>
      </c>
    </row>
    <row r="198" ht="15.75" customHeight="1">
      <c r="A198" s="6">
        <v>45592.0</v>
      </c>
      <c r="B198" s="7">
        <f t="shared" si="1"/>
        <v>45596</v>
      </c>
      <c r="C198" s="8" t="s">
        <v>18</v>
      </c>
      <c r="D198" s="8" t="s">
        <v>19</v>
      </c>
      <c r="E198" s="8" t="s">
        <v>13</v>
      </c>
      <c r="F198" s="8" t="s">
        <v>12</v>
      </c>
      <c r="G198" s="8">
        <v>1.0</v>
      </c>
      <c r="H198" s="9">
        <v>232.0</v>
      </c>
      <c r="I198" s="9">
        <f t="shared" si="2"/>
        <v>232</v>
      </c>
    </row>
    <row r="199" ht="15.75" customHeight="1">
      <c r="A199" s="6">
        <v>45593.0</v>
      </c>
      <c r="B199" s="7">
        <f t="shared" si="1"/>
        <v>45596</v>
      </c>
      <c r="C199" s="8" t="s">
        <v>15</v>
      </c>
      <c r="D199" s="8" t="s">
        <v>10</v>
      </c>
      <c r="E199" s="8" t="s">
        <v>21</v>
      </c>
      <c r="F199" s="8" t="s">
        <v>12</v>
      </c>
      <c r="G199" s="8">
        <v>11.0</v>
      </c>
      <c r="H199" s="9">
        <v>3511.0</v>
      </c>
      <c r="I199" s="9">
        <f t="shared" si="2"/>
        <v>38621</v>
      </c>
    </row>
    <row r="200" ht="15.75" customHeight="1">
      <c r="A200" s="6">
        <v>45595.0</v>
      </c>
      <c r="B200" s="7">
        <f t="shared" si="1"/>
        <v>45596</v>
      </c>
      <c r="C200" s="8" t="s">
        <v>18</v>
      </c>
      <c r="D200" s="8" t="s">
        <v>19</v>
      </c>
      <c r="E200" s="8" t="s">
        <v>21</v>
      </c>
      <c r="F200" s="8" t="s">
        <v>14</v>
      </c>
      <c r="G200" s="8">
        <v>7.0</v>
      </c>
      <c r="H200" s="9">
        <v>207.0</v>
      </c>
      <c r="I200" s="9">
        <f t="shared" si="2"/>
        <v>1449</v>
      </c>
    </row>
    <row r="201" ht="15.75" customHeight="1">
      <c r="A201" s="6">
        <v>45595.0</v>
      </c>
      <c r="B201" s="7">
        <f t="shared" si="1"/>
        <v>45596</v>
      </c>
      <c r="C201" s="8" t="s">
        <v>20</v>
      </c>
      <c r="D201" s="8" t="s">
        <v>19</v>
      </c>
      <c r="E201" s="8" t="s">
        <v>13</v>
      </c>
      <c r="F201" s="8" t="s">
        <v>12</v>
      </c>
      <c r="G201" s="8">
        <v>3.0</v>
      </c>
      <c r="H201" s="9">
        <v>156.0</v>
      </c>
      <c r="I201" s="9">
        <f t="shared" si="2"/>
        <v>468</v>
      </c>
    </row>
    <row r="202" ht="15.75" customHeight="1">
      <c r="A202" s="6">
        <v>45595.0</v>
      </c>
      <c r="B202" s="7">
        <f t="shared" si="1"/>
        <v>45596</v>
      </c>
      <c r="C202" s="8" t="s">
        <v>18</v>
      </c>
      <c r="D202" s="8" t="s">
        <v>19</v>
      </c>
      <c r="E202" s="8" t="s">
        <v>21</v>
      </c>
      <c r="F202" s="8" t="s">
        <v>22</v>
      </c>
      <c r="G202" s="8">
        <v>13.0</v>
      </c>
      <c r="H202" s="9">
        <v>207.0</v>
      </c>
      <c r="I202" s="9">
        <f t="shared" si="2"/>
        <v>2691</v>
      </c>
    </row>
    <row r="203" ht="15.75" customHeight="1">
      <c r="A203" s="6">
        <v>45597.0</v>
      </c>
      <c r="B203" s="7">
        <f t="shared" si="1"/>
        <v>45626</v>
      </c>
      <c r="C203" s="8" t="s">
        <v>9</v>
      </c>
      <c r="D203" s="8" t="s">
        <v>10</v>
      </c>
      <c r="E203" s="8" t="s">
        <v>21</v>
      </c>
      <c r="F203" s="8" t="s">
        <v>17</v>
      </c>
      <c r="G203" s="8">
        <v>9.0</v>
      </c>
      <c r="H203" s="9">
        <v>1267.0</v>
      </c>
      <c r="I203" s="9">
        <f t="shared" si="2"/>
        <v>11403</v>
      </c>
    </row>
    <row r="204" ht="15.75" customHeight="1">
      <c r="A204" s="6">
        <v>45597.0</v>
      </c>
      <c r="B204" s="7">
        <f t="shared" si="1"/>
        <v>45626</v>
      </c>
      <c r="C204" s="8" t="s">
        <v>23</v>
      </c>
      <c r="D204" s="8" t="s">
        <v>10</v>
      </c>
      <c r="E204" s="8" t="s">
        <v>13</v>
      </c>
      <c r="F204" s="8" t="s">
        <v>12</v>
      </c>
      <c r="G204" s="8">
        <v>5.0</v>
      </c>
      <c r="H204" s="9">
        <v>1113.0</v>
      </c>
      <c r="I204" s="9">
        <f t="shared" si="2"/>
        <v>5565</v>
      </c>
    </row>
    <row r="205" ht="15.75" customHeight="1">
      <c r="A205" s="6">
        <v>45598.0</v>
      </c>
      <c r="B205" s="7">
        <f t="shared" si="1"/>
        <v>45626</v>
      </c>
      <c r="C205" s="8" t="s">
        <v>18</v>
      </c>
      <c r="D205" s="8" t="s">
        <v>19</v>
      </c>
      <c r="E205" s="8" t="s">
        <v>16</v>
      </c>
      <c r="F205" s="8" t="s">
        <v>12</v>
      </c>
      <c r="G205" s="8">
        <v>13.0</v>
      </c>
      <c r="H205" s="9">
        <v>223.0</v>
      </c>
      <c r="I205" s="9">
        <f t="shared" si="2"/>
        <v>2899</v>
      </c>
    </row>
    <row r="206" ht="15.75" customHeight="1">
      <c r="A206" s="6">
        <v>45598.0</v>
      </c>
      <c r="B206" s="7">
        <f t="shared" si="1"/>
        <v>45626</v>
      </c>
      <c r="C206" s="8" t="s">
        <v>23</v>
      </c>
      <c r="D206" s="8" t="s">
        <v>10</v>
      </c>
      <c r="E206" s="8" t="s">
        <v>16</v>
      </c>
      <c r="F206" s="8" t="s">
        <v>22</v>
      </c>
      <c r="G206" s="8">
        <v>8.0</v>
      </c>
      <c r="H206" s="9">
        <v>1474.0</v>
      </c>
      <c r="I206" s="9">
        <f t="shared" si="2"/>
        <v>11792</v>
      </c>
    </row>
    <row r="207" ht="15.75" customHeight="1">
      <c r="A207" s="6">
        <v>45602.0</v>
      </c>
      <c r="B207" s="7">
        <f t="shared" si="1"/>
        <v>45626</v>
      </c>
      <c r="C207" s="8" t="s">
        <v>20</v>
      </c>
      <c r="D207" s="8" t="s">
        <v>19</v>
      </c>
      <c r="E207" s="8" t="s">
        <v>11</v>
      </c>
      <c r="F207" s="8" t="s">
        <v>22</v>
      </c>
      <c r="G207" s="8">
        <v>3.0</v>
      </c>
      <c r="H207" s="9">
        <v>126.0</v>
      </c>
      <c r="I207" s="9">
        <f t="shared" si="2"/>
        <v>378</v>
      </c>
    </row>
    <row r="208" ht="15.75" customHeight="1">
      <c r="A208" s="6">
        <v>45602.0</v>
      </c>
      <c r="B208" s="7">
        <f t="shared" si="1"/>
        <v>45626</v>
      </c>
      <c r="C208" s="8" t="s">
        <v>9</v>
      </c>
      <c r="D208" s="8" t="s">
        <v>10</v>
      </c>
      <c r="E208" s="8" t="s">
        <v>11</v>
      </c>
      <c r="F208" s="8" t="s">
        <v>22</v>
      </c>
      <c r="G208" s="8">
        <v>5.0</v>
      </c>
      <c r="H208" s="9">
        <v>1297.0</v>
      </c>
      <c r="I208" s="9">
        <f t="shared" si="2"/>
        <v>6485</v>
      </c>
    </row>
    <row r="209" ht="15.75" customHeight="1">
      <c r="A209" s="6">
        <v>45603.0</v>
      </c>
      <c r="B209" s="7">
        <f t="shared" si="1"/>
        <v>45626</v>
      </c>
      <c r="C209" s="8" t="s">
        <v>9</v>
      </c>
      <c r="D209" s="8" t="s">
        <v>10</v>
      </c>
      <c r="E209" s="8" t="s">
        <v>21</v>
      </c>
      <c r="F209" s="8" t="s">
        <v>22</v>
      </c>
      <c r="G209" s="8">
        <v>8.0</v>
      </c>
      <c r="H209" s="9">
        <v>1139.0</v>
      </c>
      <c r="I209" s="9">
        <f t="shared" si="2"/>
        <v>9112</v>
      </c>
    </row>
    <row r="210" ht="15.75" customHeight="1">
      <c r="A210" s="6">
        <v>45603.0</v>
      </c>
      <c r="B210" s="7">
        <f t="shared" si="1"/>
        <v>45626</v>
      </c>
      <c r="C210" s="8" t="s">
        <v>20</v>
      </c>
      <c r="D210" s="8" t="s">
        <v>19</v>
      </c>
      <c r="E210" s="8" t="s">
        <v>21</v>
      </c>
      <c r="F210" s="8" t="s">
        <v>22</v>
      </c>
      <c r="G210" s="8">
        <v>6.0</v>
      </c>
      <c r="H210" s="9">
        <v>120.0</v>
      </c>
      <c r="I210" s="9">
        <f t="shared" si="2"/>
        <v>720</v>
      </c>
    </row>
    <row r="211" ht="15.75" customHeight="1">
      <c r="A211" s="6">
        <v>45605.0</v>
      </c>
      <c r="B211" s="7">
        <f t="shared" si="1"/>
        <v>45626</v>
      </c>
      <c r="C211" s="8" t="s">
        <v>23</v>
      </c>
      <c r="D211" s="8" t="s">
        <v>10</v>
      </c>
      <c r="E211" s="8" t="s">
        <v>13</v>
      </c>
      <c r="F211" s="8" t="s">
        <v>14</v>
      </c>
      <c r="G211" s="8">
        <v>10.0</v>
      </c>
      <c r="H211" s="9">
        <v>965.0</v>
      </c>
      <c r="I211" s="9">
        <f t="shared" si="2"/>
        <v>9650</v>
      </c>
    </row>
    <row r="212" ht="15.75" customHeight="1">
      <c r="A212" s="6">
        <v>45608.0</v>
      </c>
      <c r="B212" s="7">
        <f t="shared" si="1"/>
        <v>45626</v>
      </c>
      <c r="C212" s="8" t="s">
        <v>18</v>
      </c>
      <c r="D212" s="8" t="s">
        <v>19</v>
      </c>
      <c r="E212" s="8" t="s">
        <v>16</v>
      </c>
      <c r="F212" s="8" t="s">
        <v>22</v>
      </c>
      <c r="G212" s="8">
        <v>4.0</v>
      </c>
      <c r="H212" s="9">
        <v>260.0</v>
      </c>
      <c r="I212" s="9">
        <f t="shared" si="2"/>
        <v>1040</v>
      </c>
    </row>
    <row r="213" ht="15.75" customHeight="1">
      <c r="A213" s="6">
        <v>45610.0</v>
      </c>
      <c r="B213" s="7">
        <f t="shared" si="1"/>
        <v>45626</v>
      </c>
      <c r="C213" s="8" t="s">
        <v>24</v>
      </c>
      <c r="D213" s="8" t="s">
        <v>19</v>
      </c>
      <c r="E213" s="8" t="s">
        <v>16</v>
      </c>
      <c r="F213" s="8" t="s">
        <v>22</v>
      </c>
      <c r="G213" s="8">
        <v>11.0</v>
      </c>
      <c r="H213" s="9">
        <v>68.0</v>
      </c>
      <c r="I213" s="9">
        <f t="shared" si="2"/>
        <v>748</v>
      </c>
    </row>
    <row r="214" ht="15.75" customHeight="1">
      <c r="A214" s="6">
        <v>45611.0</v>
      </c>
      <c r="B214" s="7">
        <f t="shared" si="1"/>
        <v>45626</v>
      </c>
      <c r="C214" s="8" t="s">
        <v>9</v>
      </c>
      <c r="D214" s="8" t="s">
        <v>10</v>
      </c>
      <c r="E214" s="8" t="s">
        <v>13</v>
      </c>
      <c r="F214" s="8" t="s">
        <v>22</v>
      </c>
      <c r="G214" s="8">
        <v>6.0</v>
      </c>
      <c r="H214" s="9">
        <v>1225.0</v>
      </c>
      <c r="I214" s="9">
        <f t="shared" si="2"/>
        <v>7350</v>
      </c>
    </row>
    <row r="215" ht="15.75" customHeight="1">
      <c r="A215" s="6">
        <v>45611.0</v>
      </c>
      <c r="B215" s="7">
        <f t="shared" si="1"/>
        <v>45626</v>
      </c>
      <c r="C215" s="8" t="s">
        <v>23</v>
      </c>
      <c r="D215" s="8" t="s">
        <v>10</v>
      </c>
      <c r="E215" s="8" t="s">
        <v>11</v>
      </c>
      <c r="F215" s="8" t="s">
        <v>22</v>
      </c>
      <c r="G215" s="8">
        <v>6.0</v>
      </c>
      <c r="H215" s="9">
        <v>1226.0</v>
      </c>
      <c r="I215" s="9">
        <f t="shared" si="2"/>
        <v>7356</v>
      </c>
    </row>
    <row r="216" ht="15.75" customHeight="1">
      <c r="A216" s="6">
        <v>45612.0</v>
      </c>
      <c r="B216" s="7">
        <f t="shared" si="1"/>
        <v>45626</v>
      </c>
      <c r="C216" s="8" t="s">
        <v>24</v>
      </c>
      <c r="D216" s="8" t="s">
        <v>19</v>
      </c>
      <c r="E216" s="8" t="s">
        <v>16</v>
      </c>
      <c r="F216" s="8" t="s">
        <v>22</v>
      </c>
      <c r="G216" s="8">
        <v>11.0</v>
      </c>
      <c r="H216" s="9">
        <v>87.0</v>
      </c>
      <c r="I216" s="9">
        <f t="shared" si="2"/>
        <v>957</v>
      </c>
    </row>
    <row r="217" ht="15.75" customHeight="1">
      <c r="A217" s="6">
        <v>45616.0</v>
      </c>
      <c r="B217" s="7">
        <f t="shared" si="1"/>
        <v>45626</v>
      </c>
      <c r="C217" s="8" t="s">
        <v>18</v>
      </c>
      <c r="D217" s="8" t="s">
        <v>19</v>
      </c>
      <c r="E217" s="8" t="s">
        <v>13</v>
      </c>
      <c r="F217" s="8" t="s">
        <v>17</v>
      </c>
      <c r="G217" s="8">
        <v>8.0</v>
      </c>
      <c r="H217" s="9">
        <v>181.0</v>
      </c>
      <c r="I217" s="9">
        <f t="shared" si="2"/>
        <v>1448</v>
      </c>
    </row>
    <row r="218" ht="15.75" customHeight="1">
      <c r="A218" s="6">
        <v>45618.0</v>
      </c>
      <c r="B218" s="7">
        <f t="shared" si="1"/>
        <v>45626</v>
      </c>
      <c r="C218" s="8" t="s">
        <v>23</v>
      </c>
      <c r="D218" s="8" t="s">
        <v>10</v>
      </c>
      <c r="E218" s="8" t="s">
        <v>13</v>
      </c>
      <c r="F218" s="8" t="s">
        <v>22</v>
      </c>
      <c r="G218" s="8">
        <v>12.0</v>
      </c>
      <c r="H218" s="9">
        <v>1265.0</v>
      </c>
      <c r="I218" s="9">
        <f t="shared" si="2"/>
        <v>15180</v>
      </c>
    </row>
    <row r="219" ht="15.75" customHeight="1">
      <c r="A219" s="6">
        <v>45619.0</v>
      </c>
      <c r="B219" s="7">
        <f t="shared" si="1"/>
        <v>45626</v>
      </c>
      <c r="C219" s="8" t="s">
        <v>23</v>
      </c>
      <c r="D219" s="8" t="s">
        <v>10</v>
      </c>
      <c r="E219" s="8" t="s">
        <v>13</v>
      </c>
      <c r="F219" s="8" t="s">
        <v>17</v>
      </c>
      <c r="G219" s="8">
        <v>9.0</v>
      </c>
      <c r="H219" s="9">
        <v>1343.0</v>
      </c>
      <c r="I219" s="9">
        <f t="shared" si="2"/>
        <v>12087</v>
      </c>
    </row>
    <row r="220" ht="15.75" customHeight="1">
      <c r="A220" s="6">
        <v>45620.0</v>
      </c>
      <c r="B220" s="7">
        <f t="shared" si="1"/>
        <v>45626</v>
      </c>
      <c r="C220" s="8" t="s">
        <v>15</v>
      </c>
      <c r="D220" s="8" t="s">
        <v>10</v>
      </c>
      <c r="E220" s="8" t="s">
        <v>16</v>
      </c>
      <c r="F220" s="8" t="s">
        <v>22</v>
      </c>
      <c r="G220" s="8">
        <v>12.0</v>
      </c>
      <c r="H220" s="9">
        <v>3510.0</v>
      </c>
      <c r="I220" s="9">
        <f t="shared" si="2"/>
        <v>42120</v>
      </c>
    </row>
    <row r="221" ht="15.75" customHeight="1">
      <c r="A221" s="6">
        <v>45620.0</v>
      </c>
      <c r="B221" s="7">
        <f t="shared" si="1"/>
        <v>45626</v>
      </c>
      <c r="C221" s="8" t="s">
        <v>24</v>
      </c>
      <c r="D221" s="8" t="s">
        <v>19</v>
      </c>
      <c r="E221" s="8" t="s">
        <v>21</v>
      </c>
      <c r="F221" s="8" t="s">
        <v>12</v>
      </c>
      <c r="G221" s="8">
        <v>4.0</v>
      </c>
      <c r="H221" s="9">
        <v>71.0</v>
      </c>
      <c r="I221" s="9">
        <f t="shared" si="2"/>
        <v>284</v>
      </c>
    </row>
    <row r="222" ht="15.75" customHeight="1">
      <c r="A222" s="6">
        <v>45622.0</v>
      </c>
      <c r="B222" s="7">
        <f t="shared" si="1"/>
        <v>45626</v>
      </c>
      <c r="C222" s="8" t="s">
        <v>23</v>
      </c>
      <c r="D222" s="8" t="s">
        <v>10</v>
      </c>
      <c r="E222" s="8" t="s">
        <v>13</v>
      </c>
      <c r="F222" s="8" t="s">
        <v>14</v>
      </c>
      <c r="G222" s="8">
        <v>8.0</v>
      </c>
      <c r="H222" s="9">
        <v>1044.0</v>
      </c>
      <c r="I222" s="9">
        <f t="shared" si="2"/>
        <v>8352</v>
      </c>
    </row>
    <row r="223" ht="15.75" customHeight="1">
      <c r="A223" s="6">
        <v>45623.0</v>
      </c>
      <c r="B223" s="7">
        <f t="shared" si="1"/>
        <v>45626</v>
      </c>
      <c r="C223" s="8" t="s">
        <v>20</v>
      </c>
      <c r="D223" s="8" t="s">
        <v>19</v>
      </c>
      <c r="E223" s="8" t="s">
        <v>16</v>
      </c>
      <c r="F223" s="8" t="s">
        <v>22</v>
      </c>
      <c r="G223" s="8">
        <v>12.0</v>
      </c>
      <c r="H223" s="9">
        <v>143.0</v>
      </c>
      <c r="I223" s="9">
        <f t="shared" si="2"/>
        <v>1716</v>
      </c>
    </row>
    <row r="224" ht="15.75" customHeight="1">
      <c r="A224" s="6">
        <v>45624.0</v>
      </c>
      <c r="B224" s="7">
        <f t="shared" si="1"/>
        <v>45626</v>
      </c>
      <c r="C224" s="8" t="s">
        <v>9</v>
      </c>
      <c r="D224" s="8" t="s">
        <v>10</v>
      </c>
      <c r="E224" s="8" t="s">
        <v>16</v>
      </c>
      <c r="F224" s="8" t="s">
        <v>12</v>
      </c>
      <c r="G224" s="8">
        <v>6.0</v>
      </c>
      <c r="H224" s="9">
        <v>1283.0</v>
      </c>
      <c r="I224" s="9">
        <f t="shared" si="2"/>
        <v>7698</v>
      </c>
    </row>
    <row r="225" ht="15.75" customHeight="1">
      <c r="A225" s="6">
        <v>45624.0</v>
      </c>
      <c r="B225" s="7">
        <f t="shared" si="1"/>
        <v>45626</v>
      </c>
      <c r="C225" s="8" t="s">
        <v>24</v>
      </c>
      <c r="D225" s="8" t="s">
        <v>19</v>
      </c>
      <c r="E225" s="8" t="s">
        <v>11</v>
      </c>
      <c r="F225" s="8" t="s">
        <v>17</v>
      </c>
      <c r="G225" s="8">
        <v>3.0</v>
      </c>
      <c r="H225" s="9">
        <v>81.0</v>
      </c>
      <c r="I225" s="9">
        <f t="shared" si="2"/>
        <v>243</v>
      </c>
    </row>
    <row r="226" ht="15.75" customHeight="1">
      <c r="A226" s="6">
        <v>45624.0</v>
      </c>
      <c r="B226" s="7">
        <f t="shared" si="1"/>
        <v>45626</v>
      </c>
      <c r="C226" s="8" t="s">
        <v>20</v>
      </c>
      <c r="D226" s="8" t="s">
        <v>19</v>
      </c>
      <c r="E226" s="8" t="s">
        <v>21</v>
      </c>
      <c r="F226" s="8" t="s">
        <v>17</v>
      </c>
      <c r="G226" s="8">
        <v>7.0</v>
      </c>
      <c r="H226" s="9">
        <v>173.0</v>
      </c>
      <c r="I226" s="9">
        <f t="shared" si="2"/>
        <v>1211</v>
      </c>
    </row>
    <row r="227" ht="15.75" customHeight="1">
      <c r="A227" s="6">
        <v>45626.0</v>
      </c>
      <c r="B227" s="7">
        <f t="shared" si="1"/>
        <v>45626</v>
      </c>
      <c r="C227" s="8" t="s">
        <v>9</v>
      </c>
      <c r="D227" s="8" t="s">
        <v>10</v>
      </c>
      <c r="E227" s="8" t="s">
        <v>13</v>
      </c>
      <c r="F227" s="8" t="s">
        <v>14</v>
      </c>
      <c r="G227" s="8">
        <v>12.0</v>
      </c>
      <c r="H227" s="9">
        <v>1123.0</v>
      </c>
      <c r="I227" s="9">
        <f t="shared" si="2"/>
        <v>13476</v>
      </c>
    </row>
    <row r="228" ht="15.75" customHeight="1">
      <c r="A228" s="6">
        <v>45630.0</v>
      </c>
      <c r="B228" s="7">
        <f t="shared" si="1"/>
        <v>45657</v>
      </c>
      <c r="C228" s="8" t="s">
        <v>9</v>
      </c>
      <c r="D228" s="8" t="s">
        <v>10</v>
      </c>
      <c r="E228" s="8" t="s">
        <v>21</v>
      </c>
      <c r="F228" s="8" t="s">
        <v>12</v>
      </c>
      <c r="G228" s="8">
        <v>14.0</v>
      </c>
      <c r="H228" s="9">
        <v>1293.0</v>
      </c>
      <c r="I228" s="9">
        <f t="shared" si="2"/>
        <v>18102</v>
      </c>
    </row>
    <row r="229" ht="15.75" customHeight="1">
      <c r="A229" s="6">
        <v>45630.0</v>
      </c>
      <c r="B229" s="7">
        <f t="shared" si="1"/>
        <v>45657</v>
      </c>
      <c r="C229" s="8" t="s">
        <v>18</v>
      </c>
      <c r="D229" s="8" t="s">
        <v>19</v>
      </c>
      <c r="E229" s="8" t="s">
        <v>21</v>
      </c>
      <c r="F229" s="8" t="s">
        <v>22</v>
      </c>
      <c r="G229" s="8">
        <v>5.0</v>
      </c>
      <c r="H229" s="9">
        <v>247.0</v>
      </c>
      <c r="I229" s="9">
        <f t="shared" si="2"/>
        <v>1235</v>
      </c>
    </row>
    <row r="230" ht="15.75" customHeight="1">
      <c r="A230" s="6">
        <v>45633.0</v>
      </c>
      <c r="B230" s="7">
        <f t="shared" si="1"/>
        <v>45657</v>
      </c>
      <c r="C230" s="8" t="s">
        <v>9</v>
      </c>
      <c r="D230" s="8" t="s">
        <v>10</v>
      </c>
      <c r="E230" s="8" t="s">
        <v>11</v>
      </c>
      <c r="F230" s="8" t="s">
        <v>14</v>
      </c>
      <c r="G230" s="8">
        <v>14.0</v>
      </c>
      <c r="H230" s="9">
        <v>1193.0</v>
      </c>
      <c r="I230" s="9">
        <f t="shared" si="2"/>
        <v>16702</v>
      </c>
    </row>
    <row r="231" ht="15.75" customHeight="1">
      <c r="A231" s="6">
        <v>45638.0</v>
      </c>
      <c r="B231" s="7">
        <f t="shared" si="1"/>
        <v>45657</v>
      </c>
      <c r="C231" s="8" t="s">
        <v>23</v>
      </c>
      <c r="D231" s="8" t="s">
        <v>10</v>
      </c>
      <c r="E231" s="8" t="s">
        <v>16</v>
      </c>
      <c r="F231" s="8" t="s">
        <v>22</v>
      </c>
      <c r="G231" s="8">
        <v>7.0</v>
      </c>
      <c r="H231" s="9">
        <v>1270.0</v>
      </c>
      <c r="I231" s="9">
        <f t="shared" si="2"/>
        <v>8890</v>
      </c>
    </row>
    <row r="232" ht="15.75" customHeight="1">
      <c r="A232" s="6">
        <v>45641.0</v>
      </c>
      <c r="B232" s="7">
        <f t="shared" si="1"/>
        <v>45657</v>
      </c>
      <c r="C232" s="8" t="s">
        <v>20</v>
      </c>
      <c r="D232" s="8" t="s">
        <v>19</v>
      </c>
      <c r="E232" s="8" t="s">
        <v>16</v>
      </c>
      <c r="F232" s="8" t="s">
        <v>14</v>
      </c>
      <c r="G232" s="8">
        <v>15.0</v>
      </c>
      <c r="H232" s="9">
        <v>136.0</v>
      </c>
      <c r="I232" s="9">
        <f t="shared" si="2"/>
        <v>2040</v>
      </c>
    </row>
    <row r="233" ht="15.75" customHeight="1">
      <c r="A233" s="6">
        <v>45641.0</v>
      </c>
      <c r="B233" s="7">
        <f t="shared" si="1"/>
        <v>45657</v>
      </c>
      <c r="C233" s="8" t="s">
        <v>24</v>
      </c>
      <c r="D233" s="8" t="s">
        <v>19</v>
      </c>
      <c r="E233" s="8" t="s">
        <v>11</v>
      </c>
      <c r="F233" s="8" t="s">
        <v>14</v>
      </c>
      <c r="G233" s="8">
        <v>9.0</v>
      </c>
      <c r="H233" s="9">
        <v>60.0</v>
      </c>
      <c r="I233" s="9">
        <f t="shared" si="2"/>
        <v>540</v>
      </c>
    </row>
    <row r="234" ht="15.75" customHeight="1">
      <c r="A234" s="6">
        <v>45647.0</v>
      </c>
      <c r="B234" s="7">
        <f t="shared" si="1"/>
        <v>45657</v>
      </c>
      <c r="C234" s="8" t="s">
        <v>9</v>
      </c>
      <c r="D234" s="8" t="s">
        <v>10</v>
      </c>
      <c r="E234" s="8" t="s">
        <v>21</v>
      </c>
      <c r="F234" s="8" t="s">
        <v>17</v>
      </c>
      <c r="G234" s="8">
        <v>12.0</v>
      </c>
      <c r="H234" s="9">
        <v>1294.0</v>
      </c>
      <c r="I234" s="9">
        <f t="shared" si="2"/>
        <v>15528</v>
      </c>
    </row>
    <row r="235" ht="15.75" customHeight="1">
      <c r="A235" s="6">
        <v>45650.0</v>
      </c>
      <c r="B235" s="7">
        <f t="shared" si="1"/>
        <v>45657</v>
      </c>
      <c r="C235" s="8" t="s">
        <v>18</v>
      </c>
      <c r="D235" s="8" t="s">
        <v>19</v>
      </c>
      <c r="E235" s="8" t="s">
        <v>13</v>
      </c>
      <c r="F235" s="8" t="s">
        <v>17</v>
      </c>
      <c r="G235" s="8">
        <v>4.0</v>
      </c>
      <c r="H235" s="9">
        <v>206.0</v>
      </c>
      <c r="I235" s="9">
        <f t="shared" si="2"/>
        <v>824</v>
      </c>
    </row>
    <row r="236" ht="15.75" customHeight="1">
      <c r="A236" s="6">
        <v>45651.0</v>
      </c>
      <c r="B236" s="7">
        <f t="shared" si="1"/>
        <v>45657</v>
      </c>
      <c r="C236" s="8" t="s">
        <v>20</v>
      </c>
      <c r="D236" s="8" t="s">
        <v>19</v>
      </c>
      <c r="E236" s="8" t="s">
        <v>16</v>
      </c>
      <c r="F236" s="8" t="s">
        <v>22</v>
      </c>
      <c r="G236" s="8">
        <v>12.0</v>
      </c>
      <c r="H236" s="9">
        <v>174.0</v>
      </c>
      <c r="I236" s="9">
        <f t="shared" si="2"/>
        <v>2088</v>
      </c>
    </row>
    <row r="237" ht="15.75" customHeight="1">
      <c r="A237" s="6">
        <v>45652.0</v>
      </c>
      <c r="B237" s="7">
        <f t="shared" si="1"/>
        <v>45657</v>
      </c>
      <c r="C237" s="8" t="s">
        <v>9</v>
      </c>
      <c r="D237" s="8" t="s">
        <v>10</v>
      </c>
      <c r="E237" s="8" t="s">
        <v>13</v>
      </c>
      <c r="F237" s="8" t="s">
        <v>12</v>
      </c>
      <c r="G237" s="8">
        <v>10.0</v>
      </c>
      <c r="H237" s="9">
        <v>1186.0</v>
      </c>
      <c r="I237" s="9">
        <f t="shared" si="2"/>
        <v>11860</v>
      </c>
    </row>
    <row r="238" ht="15.75" customHeight="1">
      <c r="A238" s="6">
        <v>45653.0</v>
      </c>
      <c r="B238" s="7">
        <f t="shared" si="1"/>
        <v>45657</v>
      </c>
      <c r="C238" s="8" t="s">
        <v>23</v>
      </c>
      <c r="D238" s="8" t="s">
        <v>10</v>
      </c>
      <c r="E238" s="8" t="s">
        <v>11</v>
      </c>
      <c r="F238" s="8" t="s">
        <v>14</v>
      </c>
      <c r="G238" s="8">
        <v>2.0</v>
      </c>
      <c r="H238" s="9">
        <v>1121.0</v>
      </c>
      <c r="I238" s="9">
        <f t="shared" si="2"/>
        <v>2242</v>
      </c>
    </row>
    <row r="239" ht="15.75" customHeight="1">
      <c r="A239" s="6">
        <v>45653.0</v>
      </c>
      <c r="B239" s="7">
        <f t="shared" si="1"/>
        <v>45657</v>
      </c>
      <c r="C239" s="8" t="s">
        <v>9</v>
      </c>
      <c r="D239" s="8" t="s">
        <v>10</v>
      </c>
      <c r="E239" s="8" t="s">
        <v>13</v>
      </c>
      <c r="F239" s="8" t="s">
        <v>17</v>
      </c>
      <c r="G239" s="8">
        <v>8.0</v>
      </c>
      <c r="H239" s="9">
        <v>1156.0</v>
      </c>
      <c r="I239" s="9">
        <f t="shared" si="2"/>
        <v>9248</v>
      </c>
    </row>
    <row r="240" ht="15.75" customHeight="1">
      <c r="A240" s="6">
        <v>45654.0</v>
      </c>
      <c r="B240" s="7">
        <f t="shared" si="1"/>
        <v>45657</v>
      </c>
      <c r="C240" s="8" t="s">
        <v>23</v>
      </c>
      <c r="D240" s="8" t="s">
        <v>10</v>
      </c>
      <c r="E240" s="8" t="s">
        <v>21</v>
      </c>
      <c r="F240" s="8" t="s">
        <v>22</v>
      </c>
      <c r="G240" s="8">
        <v>1.0</v>
      </c>
      <c r="H240" s="9">
        <v>1302.0</v>
      </c>
      <c r="I240" s="9">
        <f t="shared" si="2"/>
        <v>1302</v>
      </c>
    </row>
    <row r="241" ht="15.75" customHeight="1">
      <c r="A241" s="6">
        <v>45655.0</v>
      </c>
      <c r="B241" s="7">
        <f t="shared" si="1"/>
        <v>45657</v>
      </c>
      <c r="C241" s="8" t="s">
        <v>20</v>
      </c>
      <c r="D241" s="8" t="s">
        <v>19</v>
      </c>
      <c r="E241" s="8" t="s">
        <v>21</v>
      </c>
      <c r="F241" s="8" t="s">
        <v>14</v>
      </c>
      <c r="G241" s="8">
        <v>12.0</v>
      </c>
      <c r="H241" s="9">
        <v>125.0</v>
      </c>
      <c r="I241" s="9">
        <f t="shared" si="2"/>
        <v>1500</v>
      </c>
    </row>
    <row r="242" ht="15.75" customHeight="1">
      <c r="B242" s="10"/>
    </row>
    <row r="243" ht="15.75" customHeight="1">
      <c r="A243" s="10"/>
      <c r="B243" s="10"/>
      <c r="H243" s="11"/>
    </row>
    <row r="244" ht="15.75" customHeight="1">
      <c r="A244" s="10"/>
      <c r="B244" s="10"/>
      <c r="H244" s="11"/>
    </row>
    <row r="245" ht="15.75" customHeight="1">
      <c r="A245" s="10"/>
      <c r="B245" s="10"/>
      <c r="H245" s="11"/>
    </row>
    <row r="246" ht="15.75" customHeight="1">
      <c r="A246" s="10"/>
      <c r="B246" s="10"/>
      <c r="H246" s="11"/>
    </row>
    <row r="247" ht="15.75" customHeight="1">
      <c r="A247" s="10"/>
      <c r="B247" s="10"/>
      <c r="H247" s="11"/>
    </row>
    <row r="248" ht="15.75" customHeight="1">
      <c r="A248" s="10"/>
      <c r="B248" s="10"/>
      <c r="H248" s="11"/>
    </row>
    <row r="249" ht="15.75" customHeight="1">
      <c r="A249" s="10"/>
      <c r="B249" s="10"/>
      <c r="H249" s="11"/>
    </row>
    <row r="250" ht="15.75" customHeight="1">
      <c r="A250" s="10"/>
      <c r="B250" s="10"/>
      <c r="H250" s="11"/>
    </row>
    <row r="251" ht="15.75" customHeight="1">
      <c r="A251" s="10"/>
      <c r="B251" s="10"/>
      <c r="H251" s="11"/>
    </row>
    <row r="252" ht="15.75" customHeight="1">
      <c r="A252" s="10"/>
      <c r="B252" s="10"/>
      <c r="H252" s="11"/>
    </row>
    <row r="253" ht="15.75" customHeight="1">
      <c r="A253" s="10"/>
      <c r="B253" s="10"/>
      <c r="H253" s="11"/>
    </row>
    <row r="254" ht="15.75" customHeight="1">
      <c r="A254" s="10"/>
      <c r="B254" s="10"/>
      <c r="H254" s="11"/>
    </row>
    <row r="255" ht="15.75" customHeight="1">
      <c r="A255" s="10"/>
      <c r="B255" s="10"/>
      <c r="H255" s="11"/>
    </row>
    <row r="256" ht="15.75" customHeight="1">
      <c r="A256" s="10"/>
      <c r="B256" s="10"/>
      <c r="H256" s="11"/>
    </row>
    <row r="257" ht="15.75" customHeight="1">
      <c r="A257" s="10"/>
      <c r="B257" s="10"/>
      <c r="H257" s="11"/>
    </row>
    <row r="258" ht="15.75" customHeight="1">
      <c r="A258" s="10"/>
      <c r="B258" s="10"/>
      <c r="H258" s="11"/>
    </row>
    <row r="259" ht="15.75" customHeight="1">
      <c r="A259" s="10"/>
      <c r="B259" s="10"/>
      <c r="H259" s="11"/>
    </row>
    <row r="260" ht="15.75" customHeight="1">
      <c r="A260" s="10"/>
      <c r="B260" s="10"/>
      <c r="H260" s="11"/>
    </row>
    <row r="261" ht="15.75" customHeight="1">
      <c r="A261" s="10"/>
      <c r="B261" s="10"/>
      <c r="H261" s="11"/>
    </row>
    <row r="262" ht="15.75" customHeight="1">
      <c r="A262" s="10"/>
      <c r="B262" s="10"/>
      <c r="H262" s="11"/>
    </row>
    <row r="263" ht="15.75" customHeight="1">
      <c r="A263" s="10"/>
      <c r="B263" s="10"/>
      <c r="H263" s="11"/>
    </row>
    <row r="264" ht="15.75" customHeight="1">
      <c r="A264" s="10"/>
      <c r="B264" s="10"/>
      <c r="H264" s="11"/>
    </row>
    <row r="265" ht="15.75" customHeight="1">
      <c r="A265" s="10"/>
      <c r="B265" s="10"/>
      <c r="H265" s="11"/>
    </row>
    <row r="266" ht="15.75" customHeight="1">
      <c r="A266" s="10"/>
      <c r="B266" s="10"/>
      <c r="H266" s="11"/>
    </row>
    <row r="267" ht="15.75" customHeight="1">
      <c r="A267" s="10"/>
      <c r="B267" s="10"/>
      <c r="H267" s="11"/>
    </row>
    <row r="268" ht="15.75" customHeight="1">
      <c r="A268" s="10"/>
      <c r="B268" s="10"/>
      <c r="H268" s="11"/>
    </row>
    <row r="269" ht="15.75" customHeight="1">
      <c r="A269" s="10"/>
      <c r="B269" s="10"/>
      <c r="H269" s="11"/>
    </row>
    <row r="270" ht="15.75" customHeight="1">
      <c r="A270" s="10"/>
      <c r="B270" s="10"/>
      <c r="H270" s="11"/>
    </row>
    <row r="271" ht="15.75" customHeight="1">
      <c r="A271" s="10"/>
      <c r="B271" s="10"/>
      <c r="H271" s="11"/>
    </row>
    <row r="272" ht="15.75" customHeight="1">
      <c r="A272" s="10"/>
      <c r="B272" s="10"/>
      <c r="H272" s="11"/>
    </row>
    <row r="273" ht="15.75" customHeight="1">
      <c r="A273" s="10"/>
      <c r="B273" s="10"/>
      <c r="H273" s="11"/>
    </row>
    <row r="274" ht="15.75" customHeight="1">
      <c r="A274" s="10"/>
      <c r="B274" s="10"/>
      <c r="H274" s="11"/>
    </row>
    <row r="275" ht="15.75" customHeight="1">
      <c r="A275" s="10"/>
      <c r="B275" s="10"/>
      <c r="H275" s="11"/>
    </row>
    <row r="276" ht="15.75" customHeight="1">
      <c r="A276" s="10"/>
      <c r="B276" s="10"/>
      <c r="H276" s="11"/>
    </row>
    <row r="277" ht="15.75" customHeight="1">
      <c r="A277" s="10"/>
      <c r="B277" s="10"/>
      <c r="H277" s="11"/>
    </row>
    <row r="278" ht="15.75" customHeight="1">
      <c r="A278" s="10"/>
      <c r="B278" s="10"/>
      <c r="H278" s="11"/>
    </row>
    <row r="279" ht="15.75" customHeight="1">
      <c r="A279" s="10"/>
      <c r="B279" s="10"/>
      <c r="H279" s="11"/>
    </row>
    <row r="280" ht="15.75" customHeight="1">
      <c r="A280" s="10"/>
      <c r="B280" s="10"/>
      <c r="H280" s="11"/>
    </row>
    <row r="281" ht="15.75" customHeight="1">
      <c r="A281" s="10"/>
      <c r="B281" s="10"/>
      <c r="H281" s="11"/>
    </row>
    <row r="282" ht="15.75" customHeight="1">
      <c r="A282" s="10"/>
      <c r="B282" s="10"/>
      <c r="H282" s="11"/>
    </row>
    <row r="283" ht="15.75" customHeight="1">
      <c r="A283" s="10"/>
      <c r="B283" s="10"/>
      <c r="H283" s="11"/>
    </row>
    <row r="284" ht="15.75" customHeight="1">
      <c r="A284" s="10"/>
      <c r="B284" s="10"/>
      <c r="H284" s="11"/>
    </row>
    <row r="285" ht="15.75" customHeight="1">
      <c r="A285" s="10"/>
      <c r="B285" s="10"/>
      <c r="H285" s="11"/>
    </row>
    <row r="286" ht="15.75" customHeight="1">
      <c r="A286" s="10"/>
      <c r="B286" s="10"/>
      <c r="H286" s="11"/>
    </row>
    <row r="287" ht="15.75" customHeight="1">
      <c r="A287" s="10"/>
      <c r="B287" s="10"/>
      <c r="H287" s="11"/>
    </row>
    <row r="288" ht="15.75" customHeight="1">
      <c r="A288" s="10"/>
      <c r="B288" s="10"/>
      <c r="H288" s="11"/>
    </row>
    <row r="289" ht="15.75" customHeight="1">
      <c r="A289" s="10"/>
      <c r="B289" s="10"/>
      <c r="H289" s="11"/>
    </row>
    <row r="290" ht="15.75" customHeight="1">
      <c r="A290" s="10"/>
      <c r="B290" s="10"/>
      <c r="H290" s="11"/>
    </row>
    <row r="291" ht="15.75" customHeight="1">
      <c r="A291" s="10"/>
      <c r="B291" s="10"/>
      <c r="H291" s="11"/>
    </row>
    <row r="292" ht="15.75" customHeight="1">
      <c r="A292" s="10"/>
      <c r="B292" s="10"/>
      <c r="H292" s="11"/>
    </row>
    <row r="293" ht="15.75" customHeight="1">
      <c r="A293" s="10"/>
      <c r="B293" s="10"/>
      <c r="H293" s="11"/>
    </row>
    <row r="294" ht="15.75" customHeight="1">
      <c r="A294" s="10"/>
      <c r="B294" s="10"/>
      <c r="H294" s="11"/>
    </row>
    <row r="295" ht="15.75" customHeight="1">
      <c r="A295" s="10"/>
      <c r="B295" s="10"/>
      <c r="H295" s="11"/>
    </row>
    <row r="296" ht="15.75" customHeight="1">
      <c r="A296" s="10"/>
      <c r="B296" s="10"/>
      <c r="H296" s="11"/>
    </row>
    <row r="297" ht="15.75" customHeight="1">
      <c r="A297" s="10"/>
      <c r="B297" s="10"/>
      <c r="H297" s="11"/>
    </row>
    <row r="298" ht="15.75" customHeight="1">
      <c r="A298" s="10"/>
      <c r="B298" s="10"/>
      <c r="H298" s="11"/>
    </row>
    <row r="299" ht="15.75" customHeight="1">
      <c r="A299" s="10"/>
      <c r="B299" s="10"/>
      <c r="H299" s="11"/>
    </row>
    <row r="300" ht="15.75" customHeight="1">
      <c r="A300" s="10"/>
      <c r="B300" s="10"/>
      <c r="H300" s="11"/>
    </row>
    <row r="301" ht="15.75" customHeight="1">
      <c r="A301" s="10"/>
      <c r="B301" s="10"/>
      <c r="H301" s="11"/>
    </row>
    <row r="302" ht="15.75" customHeight="1">
      <c r="A302" s="10"/>
      <c r="B302" s="10"/>
      <c r="H302" s="11"/>
    </row>
    <row r="303" ht="15.75" customHeight="1">
      <c r="A303" s="10"/>
      <c r="B303" s="10"/>
      <c r="H303" s="11"/>
    </row>
    <row r="304" ht="15.75" customHeight="1">
      <c r="A304" s="10"/>
      <c r="B304" s="10"/>
      <c r="H304" s="11"/>
    </row>
    <row r="305" ht="15.75" customHeight="1">
      <c r="A305" s="10"/>
      <c r="B305" s="10"/>
      <c r="H305" s="11"/>
    </row>
    <row r="306" ht="15.75" customHeight="1">
      <c r="A306" s="10"/>
      <c r="B306" s="10"/>
      <c r="H306" s="11"/>
    </row>
    <row r="307" ht="15.75" customHeight="1">
      <c r="A307" s="10"/>
      <c r="B307" s="10"/>
      <c r="H307" s="11"/>
    </row>
    <row r="308" ht="15.75" customHeight="1">
      <c r="A308" s="10"/>
      <c r="B308" s="10"/>
      <c r="H308" s="11"/>
    </row>
    <row r="309" ht="15.75" customHeight="1">
      <c r="A309" s="10"/>
      <c r="B309" s="10"/>
      <c r="H309" s="11"/>
    </row>
    <row r="310" ht="15.75" customHeight="1">
      <c r="A310" s="10"/>
      <c r="B310" s="10"/>
      <c r="H310" s="11"/>
    </row>
    <row r="311" ht="15.75" customHeight="1">
      <c r="A311" s="10"/>
      <c r="B311" s="10"/>
      <c r="H311" s="11"/>
    </row>
    <row r="312" ht="15.75" customHeight="1">
      <c r="A312" s="10"/>
      <c r="B312" s="10"/>
      <c r="H312" s="11"/>
    </row>
    <row r="313" ht="15.75" customHeight="1">
      <c r="A313" s="10"/>
      <c r="B313" s="10"/>
      <c r="H313" s="11"/>
    </row>
    <row r="314" ht="15.75" customHeight="1">
      <c r="A314" s="10"/>
      <c r="B314" s="10"/>
      <c r="H314" s="11"/>
    </row>
    <row r="315" ht="15.75" customHeight="1">
      <c r="A315" s="10"/>
      <c r="B315" s="10"/>
      <c r="H315" s="11"/>
    </row>
    <row r="316" ht="15.75" customHeight="1">
      <c r="A316" s="10"/>
      <c r="B316" s="10"/>
      <c r="H316" s="11"/>
    </row>
    <row r="317" ht="15.75" customHeight="1">
      <c r="A317" s="10"/>
      <c r="B317" s="10"/>
      <c r="H317" s="11"/>
    </row>
    <row r="318" ht="15.75" customHeight="1">
      <c r="A318" s="10"/>
      <c r="B318" s="10"/>
      <c r="H318" s="11"/>
    </row>
    <row r="319" ht="15.75" customHeight="1">
      <c r="A319" s="10"/>
      <c r="B319" s="10"/>
      <c r="H319" s="11"/>
    </row>
    <row r="320" ht="15.75" customHeight="1">
      <c r="A320" s="10"/>
      <c r="B320" s="10"/>
      <c r="H320" s="11"/>
    </row>
    <row r="321" ht="15.75" customHeight="1">
      <c r="A321" s="10"/>
      <c r="B321" s="10"/>
      <c r="H321" s="11"/>
    </row>
    <row r="322" ht="15.75" customHeight="1">
      <c r="A322" s="10"/>
      <c r="B322" s="10"/>
      <c r="H322" s="11"/>
    </row>
    <row r="323" ht="15.75" customHeight="1">
      <c r="A323" s="10"/>
      <c r="B323" s="10"/>
      <c r="H323" s="11"/>
    </row>
    <row r="324" ht="15.75" customHeight="1">
      <c r="A324" s="10"/>
      <c r="B324" s="10"/>
      <c r="H324" s="11"/>
    </row>
    <row r="325" ht="15.75" customHeight="1">
      <c r="A325" s="10"/>
      <c r="B325" s="10"/>
      <c r="H325" s="11"/>
    </row>
    <row r="326" ht="15.75" customHeight="1">
      <c r="A326" s="10"/>
      <c r="B326" s="10"/>
      <c r="H326" s="11"/>
    </row>
    <row r="327" ht="15.75" customHeight="1">
      <c r="A327" s="10"/>
      <c r="B327" s="10"/>
      <c r="H327" s="11"/>
    </row>
    <row r="328" ht="15.75" customHeight="1">
      <c r="A328" s="10"/>
      <c r="B328" s="10"/>
      <c r="H328" s="11"/>
    </row>
    <row r="329" ht="15.75" customHeight="1">
      <c r="A329" s="10"/>
      <c r="B329" s="10"/>
      <c r="H329" s="11"/>
    </row>
    <row r="330" ht="15.75" customHeight="1">
      <c r="A330" s="10"/>
      <c r="B330" s="10"/>
      <c r="H330" s="11"/>
    </row>
    <row r="331" ht="15.75" customHeight="1">
      <c r="A331" s="10"/>
      <c r="B331" s="10"/>
      <c r="H331" s="11"/>
    </row>
    <row r="332" ht="15.75" customHeight="1">
      <c r="A332" s="10"/>
      <c r="B332" s="10"/>
      <c r="H332" s="11"/>
    </row>
    <row r="333" ht="15.75" customHeight="1">
      <c r="A333" s="10"/>
      <c r="B333" s="10"/>
      <c r="H333" s="11"/>
    </row>
    <row r="334" ht="15.75" customHeight="1">
      <c r="A334" s="10"/>
      <c r="B334" s="10"/>
      <c r="H334" s="11"/>
    </row>
    <row r="335" ht="15.75" customHeight="1">
      <c r="A335" s="10"/>
      <c r="B335" s="10"/>
      <c r="H335" s="11"/>
    </row>
    <row r="336" ht="15.75" customHeight="1">
      <c r="A336" s="10"/>
      <c r="B336" s="10"/>
      <c r="H336" s="11"/>
    </row>
    <row r="337" ht="15.75" customHeight="1">
      <c r="A337" s="10"/>
      <c r="B337" s="10"/>
      <c r="H337" s="11"/>
    </row>
    <row r="338" ht="15.75" customHeight="1">
      <c r="A338" s="10"/>
      <c r="B338" s="10"/>
      <c r="H338" s="11"/>
    </row>
    <row r="339" ht="15.75" customHeight="1">
      <c r="A339" s="10"/>
      <c r="B339" s="10"/>
      <c r="H339" s="11"/>
    </row>
    <row r="340" ht="15.75" customHeight="1">
      <c r="A340" s="10"/>
      <c r="B340" s="10"/>
      <c r="H340" s="11"/>
    </row>
    <row r="341" ht="15.75" customHeight="1">
      <c r="A341" s="10"/>
      <c r="B341" s="10"/>
      <c r="H341" s="11"/>
    </row>
    <row r="342" ht="15.75" customHeight="1">
      <c r="A342" s="10"/>
      <c r="B342" s="10"/>
      <c r="H342" s="11"/>
    </row>
    <row r="343" ht="15.75" customHeight="1">
      <c r="A343" s="10"/>
      <c r="B343" s="10"/>
      <c r="H343" s="11"/>
    </row>
    <row r="344" ht="15.75" customHeight="1">
      <c r="A344" s="10"/>
      <c r="B344" s="10"/>
      <c r="H344" s="11"/>
    </row>
    <row r="345" ht="15.75" customHeight="1">
      <c r="A345" s="10"/>
      <c r="B345" s="10"/>
      <c r="H345" s="11"/>
    </row>
    <row r="346" ht="15.75" customHeight="1">
      <c r="A346" s="10"/>
      <c r="B346" s="10"/>
      <c r="H346" s="11"/>
    </row>
    <row r="347" ht="15.75" customHeight="1">
      <c r="A347" s="10"/>
      <c r="B347" s="10"/>
      <c r="H347" s="11"/>
    </row>
    <row r="348" ht="15.75" customHeight="1">
      <c r="A348" s="10"/>
      <c r="B348" s="10"/>
      <c r="H348" s="11"/>
    </row>
    <row r="349" ht="15.75" customHeight="1">
      <c r="A349" s="10"/>
      <c r="B349" s="10"/>
      <c r="H349" s="11"/>
    </row>
    <row r="350" ht="15.75" customHeight="1">
      <c r="A350" s="10"/>
      <c r="B350" s="10"/>
      <c r="H350" s="11"/>
    </row>
    <row r="351" ht="15.75" customHeight="1">
      <c r="A351" s="10"/>
      <c r="B351" s="10"/>
      <c r="H351" s="11"/>
    </row>
    <row r="352" ht="15.75" customHeight="1">
      <c r="A352" s="10"/>
      <c r="B352" s="10"/>
      <c r="H352" s="11"/>
    </row>
    <row r="353" ht="15.75" customHeight="1">
      <c r="A353" s="10"/>
      <c r="B353" s="10"/>
      <c r="H353" s="11"/>
    </row>
    <row r="354" ht="15.75" customHeight="1">
      <c r="A354" s="10"/>
      <c r="B354" s="10"/>
      <c r="H354" s="11"/>
    </row>
    <row r="355" ht="15.75" customHeight="1">
      <c r="A355" s="10"/>
      <c r="B355" s="10"/>
      <c r="H355" s="11"/>
    </row>
    <row r="356" ht="15.75" customHeight="1">
      <c r="A356" s="10"/>
      <c r="B356" s="10"/>
      <c r="H356" s="11"/>
    </row>
    <row r="357" ht="15.75" customHeight="1">
      <c r="A357" s="10"/>
      <c r="B357" s="10"/>
      <c r="H357" s="11"/>
    </row>
    <row r="358" ht="15.75" customHeight="1">
      <c r="A358" s="10"/>
      <c r="B358" s="10"/>
      <c r="H358" s="11"/>
    </row>
    <row r="359" ht="15.75" customHeight="1">
      <c r="A359" s="10"/>
      <c r="B359" s="10"/>
      <c r="H359" s="11"/>
    </row>
    <row r="360" ht="15.75" customHeight="1">
      <c r="A360" s="10"/>
      <c r="B360" s="10"/>
      <c r="H360" s="11"/>
    </row>
    <row r="361" ht="15.75" customHeight="1">
      <c r="A361" s="10"/>
      <c r="B361" s="10"/>
      <c r="H361" s="11"/>
    </row>
    <row r="362" ht="15.75" customHeight="1">
      <c r="A362" s="10"/>
      <c r="B362" s="10"/>
      <c r="H362" s="11"/>
    </row>
    <row r="363" ht="15.75" customHeight="1">
      <c r="A363" s="10"/>
      <c r="B363" s="10"/>
      <c r="H363" s="11"/>
    </row>
    <row r="364" ht="15.75" customHeight="1">
      <c r="A364" s="10"/>
      <c r="B364" s="10"/>
      <c r="H364" s="11"/>
    </row>
    <row r="365" ht="15.75" customHeight="1">
      <c r="A365" s="10"/>
      <c r="B365" s="10"/>
      <c r="H365" s="11"/>
    </row>
    <row r="366" ht="15.75" customHeight="1">
      <c r="A366" s="10"/>
      <c r="B366" s="10"/>
      <c r="H366" s="11"/>
    </row>
    <row r="367" ht="15.75" customHeight="1">
      <c r="A367" s="10"/>
      <c r="B367" s="10"/>
      <c r="H367" s="11"/>
    </row>
    <row r="368" ht="15.75" customHeight="1">
      <c r="A368" s="10"/>
      <c r="B368" s="10"/>
      <c r="H368" s="11"/>
    </row>
    <row r="369" ht="15.75" customHeight="1">
      <c r="A369" s="10"/>
      <c r="B369" s="10"/>
      <c r="H369" s="11"/>
    </row>
    <row r="370" ht="15.75" customHeight="1">
      <c r="A370" s="10"/>
      <c r="B370" s="10"/>
      <c r="H370" s="11"/>
    </row>
    <row r="371" ht="15.75" customHeight="1">
      <c r="A371" s="10"/>
      <c r="B371" s="10"/>
      <c r="H371" s="11"/>
    </row>
    <row r="372" ht="15.75" customHeight="1">
      <c r="A372" s="10"/>
      <c r="B372" s="10"/>
      <c r="H372" s="11"/>
    </row>
    <row r="373" ht="15.75" customHeight="1">
      <c r="A373" s="10"/>
      <c r="B373" s="10"/>
      <c r="H373" s="11"/>
    </row>
    <row r="374" ht="15.75" customHeight="1">
      <c r="A374" s="10"/>
      <c r="B374" s="10"/>
      <c r="H374" s="11"/>
    </row>
    <row r="375" ht="15.75" customHeight="1">
      <c r="A375" s="10"/>
      <c r="B375" s="10"/>
      <c r="H375" s="11"/>
    </row>
    <row r="376" ht="15.75" customHeight="1">
      <c r="A376" s="10"/>
      <c r="B376" s="10"/>
      <c r="H376" s="11"/>
    </row>
    <row r="377" ht="15.75" customHeight="1">
      <c r="A377" s="10"/>
      <c r="B377" s="10"/>
      <c r="H377" s="11"/>
    </row>
    <row r="378" ht="15.75" customHeight="1">
      <c r="A378" s="10"/>
      <c r="B378" s="10"/>
      <c r="H378" s="11"/>
    </row>
    <row r="379" ht="15.75" customHeight="1">
      <c r="A379" s="10"/>
      <c r="B379" s="10"/>
      <c r="H379" s="11"/>
    </row>
    <row r="380" ht="15.75" customHeight="1">
      <c r="A380" s="10"/>
      <c r="B380" s="10"/>
      <c r="H380" s="11"/>
    </row>
    <row r="381" ht="15.75" customHeight="1">
      <c r="A381" s="10"/>
      <c r="B381" s="10"/>
      <c r="H381" s="11"/>
    </row>
    <row r="382" ht="15.75" customHeight="1">
      <c r="A382" s="10"/>
      <c r="B382" s="10"/>
      <c r="H382" s="11"/>
    </row>
    <row r="383" ht="15.75" customHeight="1">
      <c r="A383" s="10"/>
      <c r="B383" s="10"/>
      <c r="H383" s="11"/>
    </row>
    <row r="384" ht="15.75" customHeight="1">
      <c r="A384" s="10"/>
      <c r="B384" s="10"/>
      <c r="H384" s="11"/>
    </row>
    <row r="385" ht="15.75" customHeight="1">
      <c r="A385" s="10"/>
      <c r="B385" s="10"/>
      <c r="H385" s="11"/>
    </row>
    <row r="386" ht="15.75" customHeight="1">
      <c r="A386" s="10"/>
      <c r="B386" s="10"/>
      <c r="H386" s="11"/>
    </row>
    <row r="387" ht="15.75" customHeight="1">
      <c r="A387" s="10"/>
      <c r="B387" s="10"/>
      <c r="H387" s="11"/>
    </row>
    <row r="388" ht="15.75" customHeight="1">
      <c r="A388" s="10"/>
      <c r="B388" s="10"/>
      <c r="H388" s="11"/>
    </row>
    <row r="389" ht="15.75" customHeight="1">
      <c r="A389" s="10"/>
      <c r="B389" s="10"/>
      <c r="H389" s="11"/>
    </row>
    <row r="390" ht="15.75" customHeight="1">
      <c r="A390" s="10"/>
      <c r="B390" s="10"/>
      <c r="H390" s="11"/>
    </row>
    <row r="391" ht="15.75" customHeight="1">
      <c r="A391" s="10"/>
      <c r="B391" s="10"/>
      <c r="H391" s="11"/>
    </row>
    <row r="392" ht="15.75" customHeight="1">
      <c r="A392" s="10"/>
      <c r="B392" s="10"/>
      <c r="H392" s="11"/>
    </row>
    <row r="393" ht="15.75" customHeight="1">
      <c r="A393" s="10"/>
      <c r="B393" s="10"/>
      <c r="H393" s="11"/>
    </row>
    <row r="394" ht="15.75" customHeight="1">
      <c r="A394" s="10"/>
      <c r="B394" s="10"/>
      <c r="H394" s="11"/>
    </row>
    <row r="395" ht="15.75" customHeight="1">
      <c r="A395" s="10"/>
      <c r="B395" s="10"/>
      <c r="H395" s="11"/>
    </row>
    <row r="396" ht="15.75" customHeight="1">
      <c r="A396" s="10"/>
      <c r="B396" s="10"/>
      <c r="H396" s="11"/>
    </row>
    <row r="397" ht="15.75" customHeight="1">
      <c r="A397" s="10"/>
      <c r="B397" s="10"/>
      <c r="H397" s="11"/>
    </row>
    <row r="398" ht="15.75" customHeight="1">
      <c r="A398" s="10"/>
      <c r="B398" s="10"/>
      <c r="H398" s="11"/>
    </row>
    <row r="399" ht="15.75" customHeight="1">
      <c r="A399" s="10"/>
      <c r="B399" s="10"/>
      <c r="H399" s="11"/>
    </row>
    <row r="400" ht="15.75" customHeight="1">
      <c r="A400" s="10"/>
      <c r="B400" s="10"/>
      <c r="H400" s="11"/>
    </row>
    <row r="401" ht="15.75" customHeight="1">
      <c r="A401" s="10"/>
      <c r="B401" s="10"/>
      <c r="H401" s="11"/>
    </row>
    <row r="402" ht="15.75" customHeight="1">
      <c r="A402" s="10"/>
      <c r="B402" s="10"/>
      <c r="H402" s="11"/>
    </row>
    <row r="403" ht="15.75" customHeight="1">
      <c r="A403" s="10"/>
      <c r="B403" s="10"/>
      <c r="H403" s="11"/>
    </row>
    <row r="404" ht="15.75" customHeight="1">
      <c r="A404" s="10"/>
      <c r="B404" s="10"/>
      <c r="H404" s="11"/>
    </row>
    <row r="405" ht="15.75" customHeight="1">
      <c r="A405" s="10"/>
      <c r="B405" s="10"/>
      <c r="H405" s="11"/>
    </row>
    <row r="406" ht="15.75" customHeight="1">
      <c r="A406" s="10"/>
      <c r="B406" s="10"/>
      <c r="H406" s="11"/>
    </row>
    <row r="407" ht="15.75" customHeight="1">
      <c r="A407" s="10"/>
      <c r="B407" s="10"/>
      <c r="H407" s="11"/>
    </row>
    <row r="408" ht="15.75" customHeight="1">
      <c r="A408" s="10"/>
      <c r="B408" s="10"/>
      <c r="H408" s="11"/>
    </row>
    <row r="409" ht="15.75" customHeight="1">
      <c r="A409" s="10"/>
      <c r="B409" s="10"/>
      <c r="H409" s="11"/>
    </row>
    <row r="410" ht="15.75" customHeight="1">
      <c r="A410" s="10"/>
      <c r="B410" s="10"/>
      <c r="H410" s="11"/>
    </row>
    <row r="411" ht="15.75" customHeight="1">
      <c r="A411" s="10"/>
      <c r="B411" s="10"/>
      <c r="H411" s="11"/>
    </row>
    <row r="412" ht="15.75" customHeight="1">
      <c r="A412" s="10"/>
      <c r="B412" s="10"/>
      <c r="H412" s="11"/>
    </row>
    <row r="413" ht="15.75" customHeight="1">
      <c r="A413" s="10"/>
      <c r="B413" s="10"/>
      <c r="H413" s="11"/>
    </row>
    <row r="414" ht="15.75" customHeight="1">
      <c r="A414" s="10"/>
      <c r="B414" s="10"/>
      <c r="H414" s="11"/>
    </row>
    <row r="415" ht="15.75" customHeight="1">
      <c r="A415" s="10"/>
      <c r="B415" s="10"/>
      <c r="H415" s="11"/>
    </row>
    <row r="416" ht="15.75" customHeight="1">
      <c r="A416" s="10"/>
      <c r="B416" s="10"/>
      <c r="H416" s="11"/>
    </row>
    <row r="417" ht="15.75" customHeight="1">
      <c r="A417" s="10"/>
      <c r="B417" s="10"/>
      <c r="H417" s="11"/>
    </row>
    <row r="418" ht="15.75" customHeight="1">
      <c r="A418" s="10"/>
      <c r="B418" s="10"/>
      <c r="H418" s="11"/>
    </row>
    <row r="419" ht="15.75" customHeight="1">
      <c r="A419" s="10"/>
      <c r="B419" s="10"/>
      <c r="H419" s="11"/>
    </row>
    <row r="420" ht="15.75" customHeight="1">
      <c r="A420" s="10"/>
      <c r="B420" s="10"/>
      <c r="H420" s="11"/>
    </row>
    <row r="421" ht="15.75" customHeight="1">
      <c r="A421" s="10"/>
      <c r="B421" s="10"/>
      <c r="H421" s="11"/>
    </row>
    <row r="422" ht="15.75" customHeight="1">
      <c r="A422" s="10"/>
      <c r="B422" s="10"/>
      <c r="H422" s="11"/>
    </row>
    <row r="423" ht="15.75" customHeight="1">
      <c r="A423" s="10"/>
      <c r="B423" s="10"/>
      <c r="H423" s="11"/>
    </row>
    <row r="424" ht="15.75" customHeight="1">
      <c r="A424" s="10"/>
      <c r="B424" s="10"/>
      <c r="H424" s="11"/>
    </row>
    <row r="425" ht="15.75" customHeight="1">
      <c r="A425" s="10"/>
      <c r="B425" s="10"/>
      <c r="H425" s="11"/>
    </row>
    <row r="426" ht="15.75" customHeight="1">
      <c r="A426" s="10"/>
      <c r="B426" s="10"/>
      <c r="H426" s="11"/>
    </row>
    <row r="427" ht="15.75" customHeight="1">
      <c r="A427" s="10"/>
      <c r="B427" s="10"/>
      <c r="H427" s="11"/>
    </row>
    <row r="428" ht="15.75" customHeight="1">
      <c r="A428" s="10"/>
      <c r="B428" s="10"/>
      <c r="H428" s="11"/>
    </row>
    <row r="429" ht="15.75" customHeight="1">
      <c r="A429" s="10"/>
      <c r="B429" s="10"/>
      <c r="H429" s="11"/>
    </row>
    <row r="430" ht="15.75" customHeight="1">
      <c r="A430" s="10"/>
      <c r="B430" s="10"/>
      <c r="H430" s="11"/>
    </row>
    <row r="431" ht="15.75" customHeight="1">
      <c r="A431" s="10"/>
      <c r="B431" s="10"/>
      <c r="H431" s="11"/>
    </row>
    <row r="432" ht="15.75" customHeight="1">
      <c r="A432" s="10"/>
      <c r="B432" s="10"/>
      <c r="H432" s="11"/>
    </row>
    <row r="433" ht="15.75" customHeight="1">
      <c r="A433" s="10"/>
      <c r="B433" s="10"/>
      <c r="H433" s="11"/>
    </row>
    <row r="434" ht="15.75" customHeight="1">
      <c r="A434" s="10"/>
      <c r="B434" s="10"/>
      <c r="H434" s="11"/>
    </row>
    <row r="435" ht="15.75" customHeight="1">
      <c r="A435" s="10"/>
      <c r="B435" s="10"/>
      <c r="H435" s="11"/>
    </row>
    <row r="436" ht="15.75" customHeight="1">
      <c r="A436" s="10"/>
      <c r="B436" s="10"/>
      <c r="H436" s="11"/>
    </row>
    <row r="437" ht="15.75" customHeight="1">
      <c r="A437" s="10"/>
      <c r="B437" s="10"/>
      <c r="H437" s="11"/>
    </row>
    <row r="438" ht="15.75" customHeight="1">
      <c r="A438" s="10"/>
      <c r="B438" s="10"/>
      <c r="H438" s="11"/>
    </row>
    <row r="439" ht="15.75" customHeight="1">
      <c r="A439" s="10"/>
      <c r="B439" s="10"/>
      <c r="H439" s="11"/>
    </row>
    <row r="440" ht="15.75" customHeight="1">
      <c r="A440" s="10"/>
      <c r="B440" s="10"/>
      <c r="H440" s="11"/>
    </row>
    <row r="441" ht="15.75" customHeight="1">
      <c r="A441" s="10"/>
      <c r="B441" s="10"/>
      <c r="H441" s="11"/>
    </row>
    <row r="442" ht="15.75" customHeight="1">
      <c r="A442" s="10"/>
      <c r="B442" s="10"/>
      <c r="H442" s="11"/>
    </row>
    <row r="443" ht="15.75" customHeight="1">
      <c r="A443" s="10"/>
      <c r="B443" s="10"/>
      <c r="H443" s="11"/>
    </row>
    <row r="444" ht="15.75" customHeight="1">
      <c r="A444" s="10"/>
      <c r="B444" s="10"/>
      <c r="H444" s="11"/>
    </row>
    <row r="445" ht="15.75" customHeight="1">
      <c r="A445" s="10"/>
      <c r="B445" s="10"/>
      <c r="H445" s="11"/>
    </row>
    <row r="446" ht="15.75" customHeight="1">
      <c r="A446" s="10"/>
      <c r="B446" s="10"/>
      <c r="H446" s="11"/>
    </row>
    <row r="447" ht="15.75" customHeight="1">
      <c r="A447" s="10"/>
      <c r="B447" s="10"/>
      <c r="H447" s="11"/>
    </row>
    <row r="448" ht="15.75" customHeight="1">
      <c r="A448" s="10"/>
      <c r="B448" s="10"/>
      <c r="H448" s="11"/>
    </row>
    <row r="449" ht="15.75" customHeight="1">
      <c r="A449" s="10"/>
      <c r="B449" s="10"/>
      <c r="H449" s="11"/>
    </row>
    <row r="450" ht="15.75" customHeight="1">
      <c r="A450" s="10"/>
      <c r="B450" s="10"/>
      <c r="H450" s="11"/>
    </row>
    <row r="451" ht="15.75" customHeight="1">
      <c r="A451" s="10"/>
      <c r="B451" s="10"/>
      <c r="H451" s="11"/>
    </row>
    <row r="452" ht="15.75" customHeight="1">
      <c r="A452" s="10"/>
      <c r="B452" s="10"/>
      <c r="H452" s="11"/>
    </row>
    <row r="453" ht="15.75" customHeight="1">
      <c r="A453" s="10"/>
      <c r="B453" s="10"/>
      <c r="H453" s="11"/>
    </row>
    <row r="454" ht="15.75" customHeight="1">
      <c r="A454" s="10"/>
      <c r="B454" s="10"/>
      <c r="H454" s="11"/>
    </row>
    <row r="455" ht="15.75" customHeight="1">
      <c r="A455" s="10"/>
      <c r="B455" s="10"/>
      <c r="H455" s="11"/>
    </row>
    <row r="456" ht="15.75" customHeight="1">
      <c r="A456" s="10"/>
      <c r="B456" s="10"/>
      <c r="H456" s="11"/>
    </row>
    <row r="457" ht="15.75" customHeight="1">
      <c r="A457" s="10"/>
      <c r="B457" s="10"/>
      <c r="H457" s="11"/>
    </row>
    <row r="458" ht="15.75" customHeight="1">
      <c r="A458" s="10"/>
      <c r="B458" s="10"/>
      <c r="H458" s="11"/>
    </row>
    <row r="459" ht="15.75" customHeight="1">
      <c r="A459" s="10"/>
      <c r="B459" s="10"/>
      <c r="H459" s="11"/>
    </row>
    <row r="460" ht="15.75" customHeight="1">
      <c r="A460" s="10"/>
      <c r="B460" s="10"/>
      <c r="H460" s="11"/>
    </row>
    <row r="461" ht="15.75" customHeight="1">
      <c r="A461" s="10"/>
      <c r="B461" s="10"/>
      <c r="H461" s="11"/>
    </row>
    <row r="462" ht="15.75" customHeight="1">
      <c r="A462" s="10"/>
      <c r="B462" s="10"/>
      <c r="H462" s="11"/>
    </row>
    <row r="463" ht="15.75" customHeight="1">
      <c r="A463" s="10"/>
      <c r="B463" s="10"/>
      <c r="H463" s="11"/>
    </row>
    <row r="464" ht="15.75" customHeight="1">
      <c r="A464" s="10"/>
      <c r="B464" s="10"/>
      <c r="H464" s="11"/>
    </row>
    <row r="465" ht="15.75" customHeight="1">
      <c r="A465" s="10"/>
      <c r="B465" s="10"/>
      <c r="H465" s="11"/>
    </row>
    <row r="466" ht="15.75" customHeight="1">
      <c r="A466" s="10"/>
      <c r="B466" s="10"/>
      <c r="H466" s="11"/>
    </row>
    <row r="467" ht="15.75" customHeight="1">
      <c r="A467" s="10"/>
      <c r="B467" s="10"/>
      <c r="H467" s="11"/>
    </row>
    <row r="468" ht="15.75" customHeight="1">
      <c r="A468" s="10"/>
      <c r="B468" s="10"/>
      <c r="H468" s="11"/>
    </row>
    <row r="469" ht="15.75" customHeight="1">
      <c r="A469" s="10"/>
      <c r="B469" s="10"/>
      <c r="H469" s="11"/>
    </row>
    <row r="470" ht="15.75" customHeight="1">
      <c r="A470" s="10"/>
      <c r="B470" s="10"/>
      <c r="H470" s="11"/>
    </row>
    <row r="471" ht="15.75" customHeight="1">
      <c r="A471" s="10"/>
      <c r="B471" s="10"/>
      <c r="H471" s="11"/>
    </row>
    <row r="472" ht="15.75" customHeight="1">
      <c r="A472" s="10"/>
      <c r="B472" s="10"/>
      <c r="H472" s="11"/>
    </row>
    <row r="473" ht="15.75" customHeight="1">
      <c r="A473" s="10"/>
      <c r="B473" s="10"/>
      <c r="H473" s="11"/>
    </row>
    <row r="474" ht="15.75" customHeight="1">
      <c r="A474" s="10"/>
      <c r="B474" s="10"/>
      <c r="H474" s="11"/>
    </row>
    <row r="475" ht="15.75" customHeight="1">
      <c r="A475" s="10"/>
      <c r="B475" s="10"/>
      <c r="H475" s="11"/>
    </row>
    <row r="476" ht="15.75" customHeight="1">
      <c r="A476" s="10"/>
      <c r="B476" s="10"/>
      <c r="H476" s="11"/>
    </row>
    <row r="477" ht="15.75" customHeight="1">
      <c r="A477" s="10"/>
      <c r="B477" s="10"/>
      <c r="H477" s="11"/>
    </row>
    <row r="478" ht="15.75" customHeight="1">
      <c r="A478" s="10"/>
      <c r="B478" s="10"/>
      <c r="H478" s="11"/>
    </row>
    <row r="479" ht="15.75" customHeight="1">
      <c r="A479" s="10"/>
      <c r="B479" s="10"/>
      <c r="H479" s="11"/>
    </row>
    <row r="480" ht="15.75" customHeight="1">
      <c r="A480" s="10"/>
      <c r="B480" s="10"/>
      <c r="H480" s="11"/>
    </row>
    <row r="481" ht="15.75" customHeight="1">
      <c r="A481" s="10"/>
      <c r="B481" s="10"/>
      <c r="H481" s="11"/>
    </row>
    <row r="482" ht="15.75" customHeight="1">
      <c r="A482" s="10"/>
      <c r="B482" s="10"/>
      <c r="H482" s="11"/>
    </row>
    <row r="483" ht="15.75" customHeight="1">
      <c r="A483" s="10"/>
      <c r="B483" s="10"/>
      <c r="H483" s="11"/>
    </row>
    <row r="484" ht="15.75" customHeight="1">
      <c r="A484" s="10"/>
      <c r="B484" s="10"/>
      <c r="H484" s="11"/>
    </row>
    <row r="485" ht="15.75" customHeight="1">
      <c r="A485" s="10"/>
      <c r="B485" s="10"/>
      <c r="H485" s="11"/>
    </row>
    <row r="486" ht="15.75" customHeight="1">
      <c r="A486" s="10"/>
      <c r="B486" s="10"/>
      <c r="H486" s="11"/>
    </row>
    <row r="487" ht="15.75" customHeight="1">
      <c r="A487" s="10"/>
      <c r="B487" s="10"/>
      <c r="H487" s="11"/>
    </row>
    <row r="488" ht="15.75" customHeight="1">
      <c r="A488" s="10"/>
      <c r="B488" s="10"/>
      <c r="H488" s="11"/>
    </row>
    <row r="489" ht="15.75" customHeight="1">
      <c r="A489" s="10"/>
      <c r="B489" s="10"/>
      <c r="H489" s="11"/>
    </row>
    <row r="490" ht="15.75" customHeight="1">
      <c r="A490" s="10"/>
      <c r="B490" s="10"/>
      <c r="H490" s="11"/>
    </row>
    <row r="491" ht="15.75" customHeight="1">
      <c r="A491" s="10"/>
      <c r="B491" s="10"/>
      <c r="H491" s="11"/>
    </row>
    <row r="492" ht="15.75" customHeight="1">
      <c r="A492" s="10"/>
      <c r="B492" s="10"/>
      <c r="H492" s="11"/>
    </row>
    <row r="493" ht="15.75" customHeight="1">
      <c r="A493" s="10"/>
      <c r="B493" s="10"/>
      <c r="H493" s="11"/>
    </row>
    <row r="494" ht="15.75" customHeight="1">
      <c r="A494" s="10"/>
      <c r="B494" s="10"/>
      <c r="H494" s="11"/>
    </row>
    <row r="495" ht="15.75" customHeight="1">
      <c r="A495" s="10"/>
      <c r="B495" s="10"/>
      <c r="H495" s="11"/>
    </row>
    <row r="496" ht="15.75" customHeight="1">
      <c r="A496" s="10"/>
      <c r="B496" s="10"/>
      <c r="H496" s="11"/>
    </row>
    <row r="497" ht="15.75" customHeight="1">
      <c r="A497" s="10"/>
      <c r="B497" s="10"/>
      <c r="H497" s="11"/>
    </row>
    <row r="498" ht="15.75" customHeight="1">
      <c r="A498" s="10"/>
      <c r="B498" s="10"/>
      <c r="H498" s="11"/>
    </row>
    <row r="499" ht="15.75" customHeight="1">
      <c r="A499" s="10"/>
      <c r="B499" s="10"/>
      <c r="H499" s="11"/>
    </row>
    <row r="500" ht="15.75" customHeight="1">
      <c r="A500" s="10"/>
      <c r="B500" s="10"/>
      <c r="H500" s="11"/>
    </row>
    <row r="501" ht="15.75" customHeight="1">
      <c r="A501" s="10"/>
      <c r="B501" s="10"/>
      <c r="H501" s="11"/>
    </row>
    <row r="502" ht="15.75" customHeight="1">
      <c r="A502" s="10"/>
      <c r="B502" s="10"/>
      <c r="H502" s="11"/>
    </row>
    <row r="503" ht="15.75" customHeight="1">
      <c r="A503" s="10"/>
      <c r="B503" s="10"/>
      <c r="H503" s="11"/>
    </row>
    <row r="504" ht="15.75" customHeight="1">
      <c r="A504" s="10"/>
      <c r="B504" s="10"/>
      <c r="H504" s="11"/>
    </row>
    <row r="505" ht="15.75" customHeight="1">
      <c r="A505" s="10"/>
      <c r="B505" s="10"/>
      <c r="H505" s="11"/>
    </row>
    <row r="506" ht="15.75" customHeight="1">
      <c r="A506" s="10"/>
      <c r="B506" s="10"/>
      <c r="H506" s="11"/>
    </row>
    <row r="507" ht="15.75" customHeight="1">
      <c r="A507" s="10"/>
      <c r="B507" s="10"/>
      <c r="H507" s="11"/>
    </row>
    <row r="508" ht="15.75" customHeight="1">
      <c r="A508" s="10"/>
      <c r="B508" s="10"/>
      <c r="H508" s="11"/>
    </row>
    <row r="509" ht="15.75" customHeight="1">
      <c r="A509" s="10"/>
      <c r="B509" s="10"/>
      <c r="H509" s="11"/>
    </row>
    <row r="510" ht="15.75" customHeight="1">
      <c r="A510" s="10"/>
      <c r="B510" s="10"/>
      <c r="H510" s="11"/>
    </row>
    <row r="511" ht="15.75" customHeight="1">
      <c r="A511" s="10"/>
      <c r="B511" s="10"/>
      <c r="H511" s="11"/>
    </row>
    <row r="512" ht="15.75" customHeight="1">
      <c r="A512" s="10"/>
      <c r="B512" s="10"/>
      <c r="H512" s="11"/>
    </row>
    <row r="513" ht="15.75" customHeight="1">
      <c r="A513" s="10"/>
      <c r="B513" s="10"/>
      <c r="H513" s="11"/>
    </row>
    <row r="514" ht="15.75" customHeight="1">
      <c r="A514" s="10"/>
      <c r="B514" s="10"/>
      <c r="H514" s="11"/>
    </row>
    <row r="515" ht="15.75" customHeight="1">
      <c r="A515" s="10"/>
      <c r="B515" s="10"/>
      <c r="H515" s="11"/>
    </row>
    <row r="516" ht="15.75" customHeight="1">
      <c r="A516" s="10"/>
      <c r="B516" s="10"/>
      <c r="H516" s="11"/>
    </row>
    <row r="517" ht="15.75" customHeight="1">
      <c r="A517" s="10"/>
      <c r="B517" s="10"/>
      <c r="H517" s="11"/>
    </row>
    <row r="518" ht="15.75" customHeight="1">
      <c r="A518" s="10"/>
      <c r="B518" s="10"/>
      <c r="H518" s="11"/>
    </row>
    <row r="519" ht="15.75" customHeight="1">
      <c r="A519" s="10"/>
      <c r="B519" s="10"/>
      <c r="H519" s="11"/>
    </row>
    <row r="520" ht="15.75" customHeight="1">
      <c r="A520" s="10"/>
      <c r="B520" s="10"/>
      <c r="H520" s="11"/>
    </row>
    <row r="521" ht="15.75" customHeight="1">
      <c r="A521" s="10"/>
      <c r="B521" s="10"/>
      <c r="H521" s="11"/>
    </row>
    <row r="522" ht="15.75" customHeight="1">
      <c r="A522" s="10"/>
      <c r="B522" s="10"/>
      <c r="H522" s="11"/>
    </row>
    <row r="523" ht="15.75" customHeight="1">
      <c r="A523" s="10"/>
      <c r="B523" s="10"/>
      <c r="H523" s="11"/>
    </row>
    <row r="524" ht="15.75" customHeight="1">
      <c r="A524" s="10"/>
      <c r="B524" s="10"/>
      <c r="H524" s="11"/>
    </row>
    <row r="525" ht="15.75" customHeight="1">
      <c r="A525" s="10"/>
      <c r="B525" s="10"/>
      <c r="H525" s="11"/>
    </row>
    <row r="526" ht="15.75" customHeight="1">
      <c r="A526" s="10"/>
      <c r="B526" s="10"/>
      <c r="H526" s="11"/>
    </row>
    <row r="527" ht="15.75" customHeight="1">
      <c r="A527" s="10"/>
      <c r="B527" s="10"/>
      <c r="H527" s="11"/>
    </row>
    <row r="528" ht="15.75" customHeight="1">
      <c r="A528" s="10"/>
      <c r="B528" s="10"/>
      <c r="H528" s="11"/>
    </row>
    <row r="529" ht="15.75" customHeight="1">
      <c r="A529" s="10"/>
      <c r="B529" s="10"/>
      <c r="H529" s="11"/>
    </row>
    <row r="530" ht="15.75" customHeight="1">
      <c r="A530" s="10"/>
      <c r="B530" s="10"/>
      <c r="H530" s="11"/>
    </row>
    <row r="531" ht="15.75" customHeight="1">
      <c r="A531" s="10"/>
      <c r="B531" s="10"/>
      <c r="H531" s="11"/>
    </row>
    <row r="532" ht="15.75" customHeight="1">
      <c r="A532" s="10"/>
      <c r="B532" s="10"/>
      <c r="H532" s="11"/>
    </row>
    <row r="533" ht="15.75" customHeight="1">
      <c r="A533" s="10"/>
      <c r="B533" s="10"/>
      <c r="H533" s="11"/>
    </row>
    <row r="534" ht="15.75" customHeight="1">
      <c r="A534" s="10"/>
      <c r="B534" s="10"/>
      <c r="H534" s="11"/>
    </row>
    <row r="535" ht="15.75" customHeight="1">
      <c r="A535" s="10"/>
      <c r="B535" s="10"/>
      <c r="H535" s="11"/>
    </row>
    <row r="536" ht="15.75" customHeight="1">
      <c r="A536" s="10"/>
      <c r="B536" s="10"/>
      <c r="H536" s="11"/>
    </row>
    <row r="537" ht="15.75" customHeight="1">
      <c r="A537" s="10"/>
      <c r="B537" s="10"/>
      <c r="H537" s="11"/>
    </row>
    <row r="538" ht="15.75" customHeight="1">
      <c r="A538" s="10"/>
      <c r="B538" s="10"/>
      <c r="H538" s="11"/>
    </row>
    <row r="539" ht="15.75" customHeight="1">
      <c r="A539" s="10"/>
      <c r="B539" s="10"/>
      <c r="H539" s="11"/>
    </row>
    <row r="540" ht="15.75" customHeight="1">
      <c r="A540" s="10"/>
      <c r="B540" s="10"/>
      <c r="H540" s="11"/>
    </row>
    <row r="541" ht="15.75" customHeight="1">
      <c r="A541" s="10"/>
      <c r="B541" s="10"/>
      <c r="H541" s="11"/>
    </row>
    <row r="542" ht="15.75" customHeight="1">
      <c r="A542" s="10"/>
      <c r="B542" s="10"/>
      <c r="H542" s="11"/>
    </row>
    <row r="543" ht="15.75" customHeight="1">
      <c r="A543" s="10"/>
      <c r="B543" s="10"/>
      <c r="H543" s="11"/>
    </row>
    <row r="544" ht="15.75" customHeight="1">
      <c r="A544" s="10"/>
      <c r="B544" s="10"/>
      <c r="H544" s="11"/>
    </row>
    <row r="545" ht="15.75" customHeight="1">
      <c r="A545" s="10"/>
      <c r="B545" s="10"/>
      <c r="H545" s="11"/>
    </row>
    <row r="546" ht="15.75" customHeight="1">
      <c r="A546" s="10"/>
      <c r="B546" s="10"/>
      <c r="H546" s="11"/>
    </row>
    <row r="547" ht="15.75" customHeight="1">
      <c r="A547" s="10"/>
      <c r="B547" s="10"/>
      <c r="H547" s="11"/>
    </row>
    <row r="548" ht="15.75" customHeight="1">
      <c r="A548" s="10"/>
      <c r="B548" s="10"/>
      <c r="H548" s="11"/>
    </row>
    <row r="549" ht="15.75" customHeight="1">
      <c r="A549" s="10"/>
      <c r="B549" s="10"/>
      <c r="H549" s="11"/>
    </row>
    <row r="550" ht="15.75" customHeight="1">
      <c r="A550" s="10"/>
      <c r="B550" s="10"/>
      <c r="H550" s="11"/>
    </row>
    <row r="551" ht="15.75" customHeight="1">
      <c r="A551" s="10"/>
      <c r="B551" s="10"/>
      <c r="H551" s="11"/>
    </row>
    <row r="552" ht="15.75" customHeight="1">
      <c r="A552" s="10"/>
      <c r="B552" s="10"/>
      <c r="H552" s="11"/>
    </row>
    <row r="553" ht="15.75" customHeight="1">
      <c r="A553" s="10"/>
      <c r="B553" s="10"/>
      <c r="H553" s="11"/>
    </row>
    <row r="554" ht="15.75" customHeight="1">
      <c r="A554" s="10"/>
      <c r="B554" s="10"/>
      <c r="H554" s="11"/>
    </row>
    <row r="555" ht="15.75" customHeight="1">
      <c r="A555" s="10"/>
      <c r="B555" s="10"/>
      <c r="H555" s="11"/>
    </row>
    <row r="556" ht="15.75" customHeight="1">
      <c r="A556" s="10"/>
      <c r="B556" s="10"/>
      <c r="H556" s="11"/>
    </row>
    <row r="557" ht="15.75" customHeight="1">
      <c r="A557" s="10"/>
      <c r="B557" s="10"/>
      <c r="H557" s="11"/>
    </row>
    <row r="558" ht="15.75" customHeight="1">
      <c r="A558" s="10"/>
      <c r="B558" s="10"/>
      <c r="H558" s="11"/>
    </row>
    <row r="559" ht="15.75" customHeight="1">
      <c r="A559" s="10"/>
      <c r="B559" s="10"/>
      <c r="H559" s="11"/>
    </row>
    <row r="560" ht="15.75" customHeight="1">
      <c r="A560" s="10"/>
      <c r="B560" s="10"/>
      <c r="H560" s="11"/>
    </row>
    <row r="561" ht="15.75" customHeight="1">
      <c r="A561" s="10"/>
      <c r="B561" s="10"/>
      <c r="H561" s="11"/>
    </row>
    <row r="562" ht="15.75" customHeight="1">
      <c r="A562" s="10"/>
      <c r="B562" s="10"/>
      <c r="H562" s="11"/>
    </row>
    <row r="563" ht="15.75" customHeight="1">
      <c r="A563" s="10"/>
      <c r="B563" s="10"/>
      <c r="H563" s="11"/>
    </row>
    <row r="564" ht="15.75" customHeight="1">
      <c r="A564" s="10"/>
      <c r="B564" s="10"/>
      <c r="H564" s="11"/>
    </row>
    <row r="565" ht="15.75" customHeight="1">
      <c r="A565" s="10"/>
      <c r="B565" s="10"/>
      <c r="H565" s="11"/>
    </row>
    <row r="566" ht="15.75" customHeight="1">
      <c r="A566" s="10"/>
      <c r="B566" s="10"/>
      <c r="H566" s="11"/>
    </row>
    <row r="567" ht="15.75" customHeight="1">
      <c r="A567" s="10"/>
      <c r="B567" s="10"/>
      <c r="H567" s="11"/>
    </row>
    <row r="568" ht="15.75" customHeight="1">
      <c r="A568" s="10"/>
      <c r="B568" s="10"/>
      <c r="H568" s="11"/>
    </row>
    <row r="569" ht="15.75" customHeight="1">
      <c r="A569" s="10"/>
      <c r="B569" s="10"/>
      <c r="H569" s="11"/>
    </row>
    <row r="570" ht="15.75" customHeight="1">
      <c r="A570" s="10"/>
      <c r="B570" s="10"/>
      <c r="H570" s="11"/>
    </row>
    <row r="571" ht="15.75" customHeight="1">
      <c r="A571" s="10"/>
      <c r="B571" s="10"/>
      <c r="H571" s="11"/>
    </row>
    <row r="572" ht="15.75" customHeight="1">
      <c r="A572" s="10"/>
      <c r="B572" s="10"/>
      <c r="H572" s="11"/>
    </row>
    <row r="573" ht="15.75" customHeight="1">
      <c r="A573" s="10"/>
      <c r="B573" s="10"/>
      <c r="H573" s="11"/>
    </row>
    <row r="574" ht="15.75" customHeight="1">
      <c r="A574" s="10"/>
      <c r="B574" s="10"/>
      <c r="H574" s="11"/>
    </row>
    <row r="575" ht="15.75" customHeight="1">
      <c r="A575" s="10"/>
      <c r="B575" s="10"/>
      <c r="H575" s="11"/>
    </row>
    <row r="576" ht="15.75" customHeight="1">
      <c r="A576" s="10"/>
      <c r="B576" s="10"/>
      <c r="H576" s="11"/>
    </row>
    <row r="577" ht="15.75" customHeight="1">
      <c r="A577" s="10"/>
      <c r="B577" s="10"/>
      <c r="H577" s="11"/>
    </row>
    <row r="578" ht="15.75" customHeight="1">
      <c r="A578" s="10"/>
      <c r="B578" s="10"/>
      <c r="H578" s="11"/>
    </row>
    <row r="579" ht="15.75" customHeight="1">
      <c r="A579" s="10"/>
      <c r="B579" s="10"/>
      <c r="H579" s="11"/>
    </row>
    <row r="580" ht="15.75" customHeight="1">
      <c r="A580" s="10"/>
      <c r="B580" s="10"/>
      <c r="H580" s="11"/>
    </row>
    <row r="581" ht="15.75" customHeight="1">
      <c r="A581" s="10"/>
      <c r="B581" s="10"/>
      <c r="H581" s="11"/>
    </row>
    <row r="582" ht="15.75" customHeight="1">
      <c r="A582" s="10"/>
      <c r="B582" s="10"/>
      <c r="H582" s="11"/>
    </row>
    <row r="583" ht="15.75" customHeight="1">
      <c r="A583" s="10"/>
      <c r="B583" s="10"/>
      <c r="H583" s="11"/>
    </row>
    <row r="584" ht="15.75" customHeight="1">
      <c r="A584" s="10"/>
      <c r="B584" s="10"/>
      <c r="H584" s="11"/>
    </row>
    <row r="585" ht="15.75" customHeight="1">
      <c r="A585" s="10"/>
      <c r="B585" s="10"/>
      <c r="H585" s="11"/>
    </row>
    <row r="586" ht="15.75" customHeight="1">
      <c r="A586" s="10"/>
      <c r="B586" s="10"/>
      <c r="H586" s="11"/>
    </row>
    <row r="587" ht="15.75" customHeight="1">
      <c r="A587" s="10"/>
      <c r="B587" s="10"/>
      <c r="H587" s="11"/>
    </row>
    <row r="588" ht="15.75" customHeight="1">
      <c r="A588" s="10"/>
      <c r="B588" s="10"/>
      <c r="H588" s="11"/>
    </row>
    <row r="589" ht="15.75" customHeight="1">
      <c r="A589" s="10"/>
      <c r="B589" s="10"/>
      <c r="H589" s="11"/>
    </row>
    <row r="590" ht="15.75" customHeight="1">
      <c r="A590" s="10"/>
      <c r="B590" s="10"/>
      <c r="H590" s="11"/>
    </row>
    <row r="591" ht="15.75" customHeight="1">
      <c r="A591" s="10"/>
      <c r="B591" s="10"/>
      <c r="H591" s="11"/>
    </row>
    <row r="592" ht="15.75" customHeight="1">
      <c r="A592" s="10"/>
      <c r="B592" s="10"/>
      <c r="H592" s="11"/>
    </row>
    <row r="593" ht="15.75" customHeight="1">
      <c r="A593" s="10"/>
      <c r="B593" s="10"/>
      <c r="H593" s="11"/>
    </row>
    <row r="594" ht="15.75" customHeight="1">
      <c r="A594" s="10"/>
      <c r="B594" s="10"/>
      <c r="H594" s="11"/>
    </row>
    <row r="595" ht="15.75" customHeight="1">
      <c r="A595" s="10"/>
      <c r="B595" s="10"/>
      <c r="H595" s="11"/>
    </row>
    <row r="596" ht="15.75" customHeight="1">
      <c r="A596" s="10"/>
      <c r="B596" s="10"/>
      <c r="H596" s="11"/>
    </row>
    <row r="597" ht="15.75" customHeight="1">
      <c r="A597" s="10"/>
      <c r="B597" s="10"/>
      <c r="H597" s="11"/>
    </row>
    <row r="598" ht="15.75" customHeight="1">
      <c r="A598" s="10"/>
      <c r="B598" s="10"/>
      <c r="H598" s="11"/>
    </row>
    <row r="599" ht="15.75" customHeight="1">
      <c r="A599" s="10"/>
      <c r="B599" s="10"/>
      <c r="H599" s="11"/>
    </row>
    <row r="600" ht="15.75" customHeight="1">
      <c r="A600" s="10"/>
      <c r="B600" s="10"/>
      <c r="H600" s="11"/>
    </row>
    <row r="601" ht="15.75" customHeight="1">
      <c r="A601" s="10"/>
      <c r="B601" s="10"/>
      <c r="H601" s="11"/>
    </row>
    <row r="602" ht="15.75" customHeight="1">
      <c r="A602" s="10"/>
      <c r="B602" s="10"/>
      <c r="H602" s="11"/>
    </row>
    <row r="603" ht="15.75" customHeight="1">
      <c r="A603" s="10"/>
      <c r="B603" s="10"/>
      <c r="H603" s="11"/>
    </row>
    <row r="604" ht="15.75" customHeight="1">
      <c r="A604" s="10"/>
      <c r="B604" s="10"/>
      <c r="H604" s="11"/>
    </row>
    <row r="605" ht="15.75" customHeight="1">
      <c r="A605" s="10"/>
      <c r="B605" s="10"/>
      <c r="H605" s="11"/>
    </row>
    <row r="606" ht="15.75" customHeight="1">
      <c r="A606" s="10"/>
      <c r="B606" s="10"/>
      <c r="H606" s="11"/>
    </row>
    <row r="607" ht="15.75" customHeight="1">
      <c r="A607" s="10"/>
      <c r="B607" s="10"/>
      <c r="H607" s="11"/>
    </row>
    <row r="608" ht="15.75" customHeight="1">
      <c r="A608" s="10"/>
      <c r="B608" s="10"/>
      <c r="H608" s="11"/>
    </row>
    <row r="609" ht="15.75" customHeight="1">
      <c r="A609" s="10"/>
      <c r="B609" s="10"/>
      <c r="H609" s="11"/>
    </row>
    <row r="610" ht="15.75" customHeight="1">
      <c r="A610" s="10"/>
      <c r="B610" s="10"/>
      <c r="H610" s="11"/>
    </row>
    <row r="611" ht="15.75" customHeight="1">
      <c r="A611" s="10"/>
      <c r="B611" s="10"/>
      <c r="H611" s="11"/>
    </row>
    <row r="612" ht="15.75" customHeight="1">
      <c r="A612" s="10"/>
      <c r="B612" s="10"/>
      <c r="H612" s="11"/>
    </row>
    <row r="613" ht="15.75" customHeight="1">
      <c r="A613" s="10"/>
      <c r="B613" s="10"/>
      <c r="H613" s="11"/>
    </row>
    <row r="614" ht="15.75" customHeight="1">
      <c r="A614" s="10"/>
      <c r="B614" s="10"/>
      <c r="H614" s="11"/>
    </row>
    <row r="615" ht="15.75" customHeight="1">
      <c r="A615" s="10"/>
      <c r="B615" s="10"/>
      <c r="H615" s="11"/>
    </row>
    <row r="616" ht="15.75" customHeight="1">
      <c r="A616" s="10"/>
      <c r="B616" s="10"/>
      <c r="H616" s="11"/>
    </row>
    <row r="617" ht="15.75" customHeight="1">
      <c r="A617" s="10"/>
      <c r="B617" s="10"/>
      <c r="H617" s="11"/>
    </row>
    <row r="618" ht="15.75" customHeight="1">
      <c r="A618" s="10"/>
      <c r="B618" s="10"/>
      <c r="H618" s="11"/>
    </row>
    <row r="619" ht="15.75" customHeight="1">
      <c r="A619" s="10"/>
      <c r="B619" s="10"/>
      <c r="H619" s="11"/>
    </row>
    <row r="620" ht="15.75" customHeight="1">
      <c r="A620" s="10"/>
      <c r="B620" s="10"/>
      <c r="H620" s="11"/>
    </row>
    <row r="621" ht="15.75" customHeight="1">
      <c r="A621" s="10"/>
      <c r="B621" s="10"/>
      <c r="H621" s="11"/>
    </row>
    <row r="622" ht="15.75" customHeight="1">
      <c r="A622" s="10"/>
      <c r="B622" s="10"/>
      <c r="H622" s="11"/>
    </row>
    <row r="623" ht="15.75" customHeight="1">
      <c r="A623" s="10"/>
      <c r="B623" s="10"/>
      <c r="H623" s="11"/>
    </row>
    <row r="624" ht="15.75" customHeight="1">
      <c r="A624" s="10"/>
      <c r="B624" s="10"/>
      <c r="H624" s="11"/>
    </row>
    <row r="625" ht="15.75" customHeight="1">
      <c r="A625" s="10"/>
      <c r="B625" s="10"/>
      <c r="H625" s="11"/>
    </row>
    <row r="626" ht="15.75" customHeight="1">
      <c r="A626" s="10"/>
      <c r="B626" s="10"/>
      <c r="H626" s="11"/>
    </row>
    <row r="627" ht="15.75" customHeight="1">
      <c r="A627" s="10"/>
      <c r="B627" s="10"/>
      <c r="H627" s="11"/>
    </row>
    <row r="628" ht="15.75" customHeight="1">
      <c r="A628" s="10"/>
      <c r="B628" s="10"/>
      <c r="H628" s="11"/>
    </row>
    <row r="629" ht="15.75" customHeight="1">
      <c r="A629" s="10"/>
      <c r="B629" s="10"/>
      <c r="H629" s="11"/>
    </row>
    <row r="630" ht="15.75" customHeight="1">
      <c r="A630" s="10"/>
      <c r="B630" s="10"/>
      <c r="H630" s="11"/>
    </row>
    <row r="631" ht="15.75" customHeight="1">
      <c r="A631" s="10"/>
      <c r="B631" s="10"/>
      <c r="H631" s="11"/>
    </row>
    <row r="632" ht="15.75" customHeight="1">
      <c r="A632" s="10"/>
      <c r="B632" s="10"/>
      <c r="H632" s="11"/>
    </row>
    <row r="633" ht="15.75" customHeight="1">
      <c r="A633" s="10"/>
      <c r="B633" s="10"/>
      <c r="H633" s="11"/>
    </row>
    <row r="634" ht="15.75" customHeight="1">
      <c r="A634" s="10"/>
      <c r="B634" s="10"/>
      <c r="H634" s="11"/>
    </row>
    <row r="635" ht="15.75" customHeight="1">
      <c r="A635" s="10"/>
      <c r="B635" s="10"/>
      <c r="H635" s="11"/>
    </row>
    <row r="636" ht="15.75" customHeight="1">
      <c r="A636" s="10"/>
      <c r="B636" s="10"/>
      <c r="H636" s="11"/>
    </row>
    <row r="637" ht="15.75" customHeight="1">
      <c r="A637" s="10"/>
      <c r="B637" s="10"/>
      <c r="H637" s="11"/>
    </row>
    <row r="638" ht="15.75" customHeight="1">
      <c r="A638" s="10"/>
      <c r="B638" s="10"/>
      <c r="H638" s="11"/>
    </row>
    <row r="639" ht="15.75" customHeight="1">
      <c r="A639" s="10"/>
      <c r="B639" s="10"/>
      <c r="H639" s="11"/>
    </row>
    <row r="640" ht="15.75" customHeight="1">
      <c r="A640" s="10"/>
      <c r="B640" s="10"/>
      <c r="H640" s="11"/>
    </row>
    <row r="641" ht="15.75" customHeight="1">
      <c r="A641" s="10"/>
      <c r="B641" s="10"/>
      <c r="H641" s="11"/>
    </row>
    <row r="642" ht="15.75" customHeight="1">
      <c r="A642" s="10"/>
      <c r="B642" s="10"/>
      <c r="H642" s="11"/>
    </row>
    <row r="643" ht="15.75" customHeight="1">
      <c r="A643" s="10"/>
      <c r="B643" s="10"/>
      <c r="H643" s="11"/>
    </row>
    <row r="644" ht="15.75" customHeight="1">
      <c r="A644" s="10"/>
      <c r="B644" s="10"/>
      <c r="H644" s="11"/>
    </row>
    <row r="645" ht="15.75" customHeight="1">
      <c r="A645" s="10"/>
      <c r="B645" s="10"/>
      <c r="H645" s="11"/>
    </row>
    <row r="646" ht="15.75" customHeight="1">
      <c r="A646" s="10"/>
      <c r="B646" s="10"/>
      <c r="H646" s="11"/>
    </row>
    <row r="647" ht="15.75" customHeight="1">
      <c r="A647" s="10"/>
      <c r="B647" s="10"/>
      <c r="H647" s="11"/>
    </row>
    <row r="648" ht="15.75" customHeight="1">
      <c r="A648" s="10"/>
      <c r="B648" s="10"/>
      <c r="H648" s="11"/>
    </row>
    <row r="649" ht="15.75" customHeight="1">
      <c r="A649" s="10"/>
      <c r="B649" s="10"/>
      <c r="H649" s="11"/>
    </row>
    <row r="650" ht="15.75" customHeight="1">
      <c r="A650" s="10"/>
      <c r="B650" s="10"/>
      <c r="H650" s="11"/>
    </row>
    <row r="651" ht="15.75" customHeight="1">
      <c r="A651" s="10"/>
      <c r="B651" s="10"/>
      <c r="H651" s="11"/>
    </row>
    <row r="652" ht="15.75" customHeight="1">
      <c r="A652" s="10"/>
      <c r="B652" s="10"/>
      <c r="H652" s="11"/>
    </row>
    <row r="653" ht="15.75" customHeight="1">
      <c r="A653" s="10"/>
      <c r="B653" s="10"/>
      <c r="H653" s="11"/>
    </row>
    <row r="654" ht="15.75" customHeight="1">
      <c r="A654" s="10"/>
      <c r="B654" s="10"/>
      <c r="H654" s="11"/>
    </row>
    <row r="655" ht="15.75" customHeight="1">
      <c r="A655" s="10"/>
      <c r="B655" s="10"/>
      <c r="H655" s="11"/>
    </row>
    <row r="656" ht="15.75" customHeight="1">
      <c r="A656" s="10"/>
      <c r="B656" s="10"/>
      <c r="H656" s="11"/>
    </row>
    <row r="657" ht="15.75" customHeight="1">
      <c r="A657" s="10"/>
      <c r="B657" s="10"/>
      <c r="H657" s="11"/>
    </row>
    <row r="658" ht="15.75" customHeight="1">
      <c r="A658" s="10"/>
      <c r="B658" s="10"/>
      <c r="H658" s="11"/>
    </row>
    <row r="659" ht="15.75" customHeight="1">
      <c r="A659" s="10"/>
      <c r="B659" s="10"/>
      <c r="H659" s="11"/>
    </row>
    <row r="660" ht="15.75" customHeight="1">
      <c r="A660" s="10"/>
      <c r="B660" s="10"/>
      <c r="H660" s="11"/>
    </row>
    <row r="661" ht="15.75" customHeight="1">
      <c r="A661" s="10"/>
      <c r="B661" s="10"/>
      <c r="H661" s="11"/>
    </row>
    <row r="662" ht="15.75" customHeight="1">
      <c r="A662" s="10"/>
      <c r="B662" s="10"/>
      <c r="H662" s="11"/>
    </row>
    <row r="663" ht="15.75" customHeight="1">
      <c r="A663" s="10"/>
      <c r="B663" s="10"/>
      <c r="H663" s="11"/>
    </row>
    <row r="664" ht="15.75" customHeight="1">
      <c r="A664" s="10"/>
      <c r="B664" s="10"/>
      <c r="H664" s="11"/>
    </row>
    <row r="665" ht="15.75" customHeight="1">
      <c r="A665" s="10"/>
      <c r="B665" s="10"/>
      <c r="H665" s="11"/>
    </row>
    <row r="666" ht="15.75" customHeight="1">
      <c r="A666" s="10"/>
      <c r="B666" s="10"/>
      <c r="H666" s="11"/>
    </row>
    <row r="667" ht="15.75" customHeight="1">
      <c r="A667" s="10"/>
      <c r="B667" s="10"/>
      <c r="H667" s="11"/>
    </row>
    <row r="668" ht="15.75" customHeight="1">
      <c r="A668" s="10"/>
      <c r="B668" s="10"/>
      <c r="H668" s="11"/>
    </row>
    <row r="669" ht="15.75" customHeight="1">
      <c r="A669" s="10"/>
      <c r="B669" s="10"/>
      <c r="H669" s="11"/>
    </row>
    <row r="670" ht="15.75" customHeight="1">
      <c r="A670" s="10"/>
      <c r="B670" s="10"/>
      <c r="H670" s="11"/>
    </row>
    <row r="671" ht="15.75" customHeight="1">
      <c r="A671" s="10"/>
      <c r="B671" s="10"/>
      <c r="H671" s="11"/>
    </row>
    <row r="672" ht="15.75" customHeight="1">
      <c r="A672" s="10"/>
      <c r="B672" s="10"/>
      <c r="H672" s="11"/>
    </row>
    <row r="673" ht="15.75" customHeight="1">
      <c r="A673" s="10"/>
      <c r="B673" s="10"/>
      <c r="H673" s="11"/>
    </row>
    <row r="674" ht="15.75" customHeight="1">
      <c r="A674" s="10"/>
      <c r="B674" s="10"/>
      <c r="H674" s="11"/>
    </row>
    <row r="675" ht="15.75" customHeight="1">
      <c r="A675" s="10"/>
      <c r="B675" s="10"/>
      <c r="H675" s="11"/>
    </row>
    <row r="676" ht="15.75" customHeight="1">
      <c r="A676" s="10"/>
      <c r="B676" s="10"/>
      <c r="H676" s="11"/>
    </row>
    <row r="677" ht="15.75" customHeight="1">
      <c r="A677" s="10"/>
      <c r="B677" s="10"/>
      <c r="H677" s="11"/>
    </row>
    <row r="678" ht="15.75" customHeight="1">
      <c r="A678" s="10"/>
      <c r="B678" s="10"/>
      <c r="H678" s="11"/>
    </row>
    <row r="679" ht="15.75" customHeight="1">
      <c r="A679" s="10"/>
      <c r="B679" s="10"/>
      <c r="H679" s="11"/>
    </row>
    <row r="680" ht="15.75" customHeight="1">
      <c r="A680" s="10"/>
      <c r="B680" s="10"/>
      <c r="H680" s="11"/>
    </row>
    <row r="681" ht="15.75" customHeight="1">
      <c r="A681" s="10"/>
      <c r="B681" s="10"/>
      <c r="H681" s="11"/>
    </row>
    <row r="682" ht="15.75" customHeight="1">
      <c r="A682" s="10"/>
      <c r="B682" s="10"/>
      <c r="H682" s="11"/>
    </row>
    <row r="683" ht="15.75" customHeight="1">
      <c r="A683" s="10"/>
      <c r="B683" s="10"/>
      <c r="H683" s="11"/>
    </row>
    <row r="684" ht="15.75" customHeight="1">
      <c r="A684" s="10"/>
      <c r="B684" s="10"/>
      <c r="H684" s="11"/>
    </row>
    <row r="685" ht="15.75" customHeight="1">
      <c r="A685" s="10"/>
      <c r="B685" s="10"/>
      <c r="H685" s="11"/>
    </row>
    <row r="686" ht="15.75" customHeight="1">
      <c r="A686" s="10"/>
      <c r="B686" s="10"/>
      <c r="H686" s="11"/>
    </row>
    <row r="687" ht="15.75" customHeight="1">
      <c r="A687" s="10"/>
      <c r="B687" s="10"/>
      <c r="H687" s="11"/>
    </row>
    <row r="688" ht="15.75" customHeight="1">
      <c r="A688" s="10"/>
      <c r="B688" s="10"/>
      <c r="H688" s="11"/>
    </row>
    <row r="689" ht="15.75" customHeight="1">
      <c r="A689" s="10"/>
      <c r="B689" s="10"/>
      <c r="H689" s="11"/>
    </row>
    <row r="690" ht="15.75" customHeight="1">
      <c r="A690" s="10"/>
      <c r="B690" s="10"/>
      <c r="H690" s="11"/>
    </row>
    <row r="691" ht="15.75" customHeight="1">
      <c r="A691" s="10"/>
      <c r="B691" s="10"/>
      <c r="H691" s="11"/>
    </row>
    <row r="692" ht="15.75" customHeight="1">
      <c r="A692" s="10"/>
      <c r="B692" s="10"/>
      <c r="H692" s="11"/>
    </row>
    <row r="693" ht="15.75" customHeight="1">
      <c r="A693" s="10"/>
      <c r="B693" s="10"/>
      <c r="H693" s="11"/>
    </row>
    <row r="694" ht="15.75" customHeight="1">
      <c r="A694" s="10"/>
      <c r="B694" s="10"/>
      <c r="H694" s="11"/>
    </row>
    <row r="695" ht="15.75" customHeight="1">
      <c r="A695" s="10"/>
      <c r="B695" s="10"/>
      <c r="H695" s="11"/>
    </row>
    <row r="696" ht="15.75" customHeight="1">
      <c r="A696" s="10"/>
      <c r="B696" s="10"/>
      <c r="H696" s="11"/>
    </row>
    <row r="697" ht="15.75" customHeight="1">
      <c r="A697" s="10"/>
      <c r="B697" s="10"/>
      <c r="H697" s="11"/>
    </row>
    <row r="698" ht="15.75" customHeight="1">
      <c r="A698" s="10"/>
      <c r="B698" s="10"/>
      <c r="H698" s="11"/>
    </row>
    <row r="699" ht="15.75" customHeight="1">
      <c r="A699" s="10"/>
      <c r="B699" s="10"/>
      <c r="H699" s="11"/>
    </row>
    <row r="700" ht="15.75" customHeight="1">
      <c r="A700" s="10"/>
      <c r="B700" s="10"/>
      <c r="H700" s="11"/>
    </row>
    <row r="701" ht="15.75" customHeight="1">
      <c r="A701" s="10"/>
      <c r="B701" s="10"/>
      <c r="H701" s="11"/>
    </row>
    <row r="702" ht="15.75" customHeight="1">
      <c r="A702" s="10"/>
      <c r="B702" s="10"/>
      <c r="H702" s="11"/>
    </row>
    <row r="703" ht="15.75" customHeight="1">
      <c r="A703" s="10"/>
      <c r="B703" s="10"/>
      <c r="H703" s="11"/>
    </row>
    <row r="704" ht="15.75" customHeight="1">
      <c r="A704" s="10"/>
      <c r="B704" s="10"/>
      <c r="H704" s="11"/>
    </row>
    <row r="705" ht="15.75" customHeight="1">
      <c r="A705" s="10"/>
      <c r="B705" s="10"/>
      <c r="H705" s="11"/>
    </row>
    <row r="706" ht="15.75" customHeight="1">
      <c r="A706" s="10"/>
      <c r="B706" s="10"/>
      <c r="H706" s="11"/>
    </row>
    <row r="707" ht="15.75" customHeight="1">
      <c r="A707" s="10"/>
      <c r="B707" s="10"/>
      <c r="H707" s="11"/>
    </row>
    <row r="708" ht="15.75" customHeight="1">
      <c r="A708" s="10"/>
      <c r="B708" s="10"/>
      <c r="H708" s="11"/>
    </row>
    <row r="709" ht="15.75" customHeight="1">
      <c r="A709" s="10"/>
      <c r="B709" s="10"/>
      <c r="H709" s="11"/>
    </row>
    <row r="710" ht="15.75" customHeight="1">
      <c r="A710" s="10"/>
      <c r="B710" s="10"/>
      <c r="H710" s="11"/>
    </row>
    <row r="711" ht="15.75" customHeight="1">
      <c r="A711" s="10"/>
      <c r="B711" s="10"/>
      <c r="H711" s="11"/>
    </row>
    <row r="712" ht="15.75" customHeight="1">
      <c r="A712" s="10"/>
      <c r="B712" s="10"/>
      <c r="H712" s="11"/>
    </row>
    <row r="713" ht="15.75" customHeight="1">
      <c r="A713" s="10"/>
      <c r="B713" s="10"/>
      <c r="H713" s="11"/>
    </row>
    <row r="714" ht="15.75" customHeight="1">
      <c r="A714" s="10"/>
      <c r="B714" s="10"/>
      <c r="H714" s="11"/>
    </row>
    <row r="715" ht="15.75" customHeight="1">
      <c r="A715" s="10"/>
      <c r="B715" s="10"/>
      <c r="H715" s="11"/>
    </row>
    <row r="716" ht="15.75" customHeight="1">
      <c r="A716" s="10"/>
      <c r="B716" s="10"/>
      <c r="H716" s="11"/>
    </row>
    <row r="717" ht="15.75" customHeight="1">
      <c r="A717" s="10"/>
      <c r="B717" s="10"/>
      <c r="H717" s="11"/>
    </row>
    <row r="718" ht="15.75" customHeight="1">
      <c r="A718" s="10"/>
      <c r="B718" s="10"/>
      <c r="H718" s="11"/>
    </row>
    <row r="719" ht="15.75" customHeight="1">
      <c r="A719" s="10"/>
      <c r="B719" s="10"/>
      <c r="H719" s="11"/>
    </row>
    <row r="720" ht="15.75" customHeight="1">
      <c r="A720" s="10"/>
      <c r="B720" s="10"/>
      <c r="H720" s="11"/>
    </row>
    <row r="721" ht="15.75" customHeight="1">
      <c r="A721" s="10"/>
      <c r="B721" s="10"/>
      <c r="H721" s="11"/>
    </row>
    <row r="722" ht="15.75" customHeight="1">
      <c r="A722" s="10"/>
      <c r="B722" s="10"/>
      <c r="H722" s="11"/>
    </row>
    <row r="723" ht="15.75" customHeight="1">
      <c r="A723" s="10"/>
      <c r="B723" s="10"/>
      <c r="H723" s="11"/>
    </row>
    <row r="724" ht="15.75" customHeight="1">
      <c r="A724" s="10"/>
      <c r="B724" s="10"/>
      <c r="H724" s="11"/>
    </row>
    <row r="725" ht="15.75" customHeight="1">
      <c r="A725" s="10"/>
      <c r="B725" s="10"/>
      <c r="H725" s="11"/>
    </row>
    <row r="726" ht="15.75" customHeight="1">
      <c r="A726" s="10"/>
      <c r="B726" s="10"/>
      <c r="H726" s="11"/>
    </row>
    <row r="727" ht="15.75" customHeight="1">
      <c r="A727" s="10"/>
      <c r="B727" s="10"/>
      <c r="H727" s="11"/>
    </row>
    <row r="728" ht="15.75" customHeight="1">
      <c r="A728" s="10"/>
      <c r="B728" s="10"/>
      <c r="H728" s="11"/>
    </row>
    <row r="729" ht="15.75" customHeight="1">
      <c r="A729" s="10"/>
      <c r="B729" s="10"/>
      <c r="H729" s="11"/>
    </row>
    <row r="730" ht="15.75" customHeight="1">
      <c r="A730" s="10"/>
      <c r="B730" s="10"/>
      <c r="H730" s="11"/>
    </row>
    <row r="731" ht="15.75" customHeight="1">
      <c r="A731" s="10"/>
      <c r="B731" s="10"/>
      <c r="H731" s="11"/>
    </row>
    <row r="732" ht="15.75" customHeight="1">
      <c r="A732" s="10"/>
      <c r="B732" s="10"/>
      <c r="H732" s="11"/>
    </row>
    <row r="733" ht="15.75" customHeight="1">
      <c r="A733" s="10"/>
      <c r="B733" s="10"/>
      <c r="H733" s="11"/>
    </row>
    <row r="734" ht="15.75" customHeight="1">
      <c r="A734" s="10"/>
      <c r="B734" s="10"/>
      <c r="H734" s="11"/>
    </row>
    <row r="735" ht="15.75" customHeight="1">
      <c r="A735" s="10"/>
      <c r="B735" s="10"/>
      <c r="H735" s="11"/>
    </row>
    <row r="736" ht="15.75" customHeight="1">
      <c r="A736" s="10"/>
      <c r="B736" s="10"/>
      <c r="H736" s="11"/>
    </row>
    <row r="737" ht="15.75" customHeight="1">
      <c r="A737" s="10"/>
      <c r="B737" s="10"/>
      <c r="H737" s="11"/>
    </row>
    <row r="738" ht="15.75" customHeight="1">
      <c r="A738" s="10"/>
      <c r="B738" s="10"/>
      <c r="H738" s="11"/>
    </row>
    <row r="739" ht="15.75" customHeight="1">
      <c r="A739" s="10"/>
      <c r="B739" s="10"/>
      <c r="H739" s="11"/>
    </row>
    <row r="740" ht="15.75" customHeight="1">
      <c r="A740" s="10"/>
      <c r="B740" s="10"/>
      <c r="H740" s="11"/>
    </row>
    <row r="741" ht="15.75" customHeight="1">
      <c r="A741" s="10"/>
      <c r="B741" s="10"/>
      <c r="H741" s="11"/>
    </row>
    <row r="742" ht="15.75" customHeight="1">
      <c r="A742" s="10"/>
      <c r="B742" s="10"/>
      <c r="H742" s="11"/>
    </row>
    <row r="743" ht="15.75" customHeight="1">
      <c r="A743" s="10"/>
      <c r="B743" s="10"/>
      <c r="H743" s="11"/>
    </row>
    <row r="744" ht="15.75" customHeight="1">
      <c r="A744" s="10"/>
      <c r="B744" s="10"/>
      <c r="H744" s="11"/>
    </row>
    <row r="745" ht="15.75" customHeight="1">
      <c r="A745" s="10"/>
      <c r="B745" s="10"/>
      <c r="H745" s="11"/>
    </row>
    <row r="746" ht="15.75" customHeight="1">
      <c r="A746" s="10"/>
      <c r="B746" s="10"/>
      <c r="H746" s="11"/>
    </row>
    <row r="747" ht="15.75" customHeight="1">
      <c r="A747" s="10"/>
      <c r="B747" s="10"/>
      <c r="H747" s="11"/>
    </row>
    <row r="748" ht="15.75" customHeight="1">
      <c r="A748" s="10"/>
      <c r="B748" s="10"/>
      <c r="H748" s="11"/>
    </row>
    <row r="749" ht="15.75" customHeight="1">
      <c r="A749" s="10"/>
      <c r="B749" s="10"/>
      <c r="H749" s="11"/>
    </row>
    <row r="750" ht="15.75" customHeight="1">
      <c r="A750" s="10"/>
      <c r="B750" s="10"/>
      <c r="H750" s="11"/>
    </row>
    <row r="751" ht="15.75" customHeight="1">
      <c r="A751" s="10"/>
      <c r="B751" s="10"/>
      <c r="H751" s="11"/>
    </row>
    <row r="752" ht="15.75" customHeight="1">
      <c r="A752" s="10"/>
      <c r="B752" s="10"/>
      <c r="H752" s="11"/>
    </row>
    <row r="753" ht="15.75" customHeight="1">
      <c r="A753" s="10"/>
      <c r="B753" s="10"/>
      <c r="H753" s="11"/>
    </row>
    <row r="754" ht="15.75" customHeight="1">
      <c r="A754" s="10"/>
      <c r="B754" s="10"/>
      <c r="H754" s="11"/>
    </row>
    <row r="755" ht="15.75" customHeight="1">
      <c r="A755" s="10"/>
      <c r="B755" s="10"/>
      <c r="H755" s="11"/>
    </row>
    <row r="756" ht="15.75" customHeight="1">
      <c r="A756" s="10"/>
      <c r="B756" s="10"/>
      <c r="H756" s="11"/>
    </row>
    <row r="757" ht="15.75" customHeight="1">
      <c r="A757" s="10"/>
      <c r="B757" s="10"/>
      <c r="H757" s="11"/>
    </row>
    <row r="758" ht="15.75" customHeight="1">
      <c r="A758" s="10"/>
      <c r="B758" s="10"/>
      <c r="H758" s="11"/>
    </row>
    <row r="759" ht="15.75" customHeight="1">
      <c r="A759" s="10"/>
      <c r="B759" s="10"/>
      <c r="H759" s="11"/>
    </row>
    <row r="760" ht="15.75" customHeight="1">
      <c r="A760" s="10"/>
      <c r="B760" s="10"/>
      <c r="H760" s="11"/>
    </row>
    <row r="761" ht="15.75" customHeight="1">
      <c r="A761" s="10"/>
      <c r="B761" s="10"/>
      <c r="H761" s="11"/>
    </row>
    <row r="762" ht="15.75" customHeight="1">
      <c r="A762" s="10"/>
      <c r="B762" s="10"/>
      <c r="H762" s="11"/>
    </row>
    <row r="763" ht="15.75" customHeight="1">
      <c r="A763" s="10"/>
      <c r="B763" s="10"/>
      <c r="H763" s="11"/>
    </row>
    <row r="764" ht="15.75" customHeight="1">
      <c r="A764" s="10"/>
      <c r="B764" s="10"/>
      <c r="H764" s="11"/>
    </row>
    <row r="765" ht="15.75" customHeight="1">
      <c r="A765" s="10"/>
      <c r="B765" s="10"/>
      <c r="H765" s="11"/>
    </row>
    <row r="766" ht="15.75" customHeight="1">
      <c r="A766" s="10"/>
      <c r="B766" s="10"/>
      <c r="H766" s="11"/>
    </row>
    <row r="767" ht="15.75" customHeight="1">
      <c r="A767" s="10"/>
      <c r="B767" s="10"/>
      <c r="H767" s="11"/>
    </row>
    <row r="768" ht="15.75" customHeight="1">
      <c r="A768" s="10"/>
      <c r="B768" s="10"/>
      <c r="H768" s="11"/>
    </row>
    <row r="769" ht="15.75" customHeight="1">
      <c r="A769" s="10"/>
      <c r="B769" s="10"/>
      <c r="H769" s="11"/>
    </row>
    <row r="770" ht="15.75" customHeight="1">
      <c r="A770" s="10"/>
      <c r="B770" s="10"/>
      <c r="H770" s="11"/>
    </row>
    <row r="771" ht="15.75" customHeight="1">
      <c r="A771" s="10"/>
      <c r="B771" s="10"/>
      <c r="H771" s="11"/>
    </row>
    <row r="772" ht="15.75" customHeight="1">
      <c r="A772" s="10"/>
      <c r="B772" s="10"/>
      <c r="H772" s="11"/>
    </row>
    <row r="773" ht="15.75" customHeight="1">
      <c r="A773" s="10"/>
      <c r="B773" s="10"/>
      <c r="H773" s="11"/>
    </row>
    <row r="774" ht="15.75" customHeight="1">
      <c r="A774" s="10"/>
      <c r="B774" s="10"/>
      <c r="H774" s="11"/>
    </row>
    <row r="775" ht="15.75" customHeight="1">
      <c r="A775" s="10"/>
      <c r="B775" s="10"/>
      <c r="H775" s="11"/>
    </row>
    <row r="776" ht="15.75" customHeight="1">
      <c r="A776" s="10"/>
      <c r="B776" s="10"/>
      <c r="H776" s="11"/>
    </row>
    <row r="777" ht="15.75" customHeight="1">
      <c r="A777" s="10"/>
      <c r="B777" s="10"/>
      <c r="H777" s="11"/>
    </row>
    <row r="778" ht="15.75" customHeight="1">
      <c r="A778" s="10"/>
      <c r="B778" s="10"/>
      <c r="H778" s="11"/>
    </row>
    <row r="779" ht="15.75" customHeight="1">
      <c r="A779" s="10"/>
      <c r="B779" s="10"/>
      <c r="H779" s="11"/>
    </row>
    <row r="780" ht="15.75" customHeight="1">
      <c r="A780" s="10"/>
      <c r="B780" s="10"/>
      <c r="H780" s="11"/>
    </row>
    <row r="781" ht="15.75" customHeight="1">
      <c r="A781" s="10"/>
      <c r="B781" s="10"/>
      <c r="H781" s="11"/>
    </row>
    <row r="782" ht="15.75" customHeight="1">
      <c r="A782" s="10"/>
      <c r="B782" s="10"/>
      <c r="H782" s="11"/>
    </row>
    <row r="783" ht="15.75" customHeight="1">
      <c r="A783" s="10"/>
      <c r="B783" s="10"/>
      <c r="H783" s="11"/>
    </row>
    <row r="784" ht="15.75" customHeight="1">
      <c r="A784" s="10"/>
      <c r="B784" s="10"/>
      <c r="H784" s="11"/>
    </row>
    <row r="785" ht="15.75" customHeight="1">
      <c r="A785" s="10"/>
      <c r="B785" s="10"/>
      <c r="H785" s="11"/>
    </row>
    <row r="786" ht="15.75" customHeight="1">
      <c r="A786" s="10"/>
      <c r="B786" s="10"/>
      <c r="H786" s="11"/>
    </row>
    <row r="787" ht="15.75" customHeight="1">
      <c r="A787" s="10"/>
      <c r="B787" s="10"/>
      <c r="H787" s="11"/>
    </row>
    <row r="788" ht="15.75" customHeight="1">
      <c r="A788" s="10"/>
      <c r="B788" s="10"/>
      <c r="H788" s="11"/>
    </row>
    <row r="789" ht="15.75" customHeight="1">
      <c r="A789" s="10"/>
      <c r="B789" s="10"/>
      <c r="H789" s="11"/>
    </row>
    <row r="790" ht="15.75" customHeight="1">
      <c r="A790" s="10"/>
      <c r="B790" s="10"/>
      <c r="H790" s="11"/>
    </row>
    <row r="791" ht="15.75" customHeight="1">
      <c r="A791" s="10"/>
      <c r="B791" s="10"/>
      <c r="H791" s="11"/>
    </row>
    <row r="792" ht="15.75" customHeight="1">
      <c r="A792" s="10"/>
      <c r="B792" s="10"/>
      <c r="H792" s="11"/>
    </row>
    <row r="793" ht="15.75" customHeight="1">
      <c r="A793" s="10"/>
      <c r="B793" s="10"/>
      <c r="H793" s="11"/>
    </row>
    <row r="794" ht="15.75" customHeight="1">
      <c r="A794" s="10"/>
      <c r="B794" s="10"/>
      <c r="H794" s="11"/>
    </row>
    <row r="795" ht="15.75" customHeight="1">
      <c r="A795" s="10"/>
      <c r="B795" s="10"/>
      <c r="H795" s="11"/>
    </row>
    <row r="796" ht="15.75" customHeight="1">
      <c r="A796" s="10"/>
      <c r="B796" s="10"/>
      <c r="H796" s="11"/>
    </row>
    <row r="797" ht="15.75" customHeight="1">
      <c r="A797" s="10"/>
      <c r="B797" s="10"/>
      <c r="H797" s="11"/>
    </row>
    <row r="798" ht="15.75" customHeight="1">
      <c r="A798" s="10"/>
      <c r="B798" s="10"/>
      <c r="H798" s="11"/>
    </row>
    <row r="799" ht="15.75" customHeight="1">
      <c r="A799" s="10"/>
      <c r="B799" s="10"/>
      <c r="H799" s="11"/>
    </row>
    <row r="800" ht="15.75" customHeight="1">
      <c r="A800" s="10"/>
      <c r="B800" s="10"/>
      <c r="H800" s="11"/>
    </row>
    <row r="801" ht="15.75" customHeight="1">
      <c r="A801" s="10"/>
      <c r="B801" s="10"/>
      <c r="H801" s="11"/>
    </row>
    <row r="802" ht="15.75" customHeight="1">
      <c r="A802" s="10"/>
      <c r="B802" s="10"/>
      <c r="H802" s="11"/>
    </row>
    <row r="803" ht="15.75" customHeight="1">
      <c r="A803" s="10"/>
      <c r="B803" s="10"/>
      <c r="H803" s="11"/>
    </row>
    <row r="804" ht="15.75" customHeight="1">
      <c r="A804" s="10"/>
      <c r="B804" s="10"/>
      <c r="H804" s="11"/>
    </row>
    <row r="805" ht="15.75" customHeight="1">
      <c r="A805" s="10"/>
      <c r="B805" s="10"/>
      <c r="H805" s="11"/>
    </row>
    <row r="806" ht="15.75" customHeight="1">
      <c r="A806" s="10"/>
      <c r="B806" s="10"/>
      <c r="H806" s="11"/>
    </row>
    <row r="807" ht="15.75" customHeight="1">
      <c r="A807" s="10"/>
      <c r="B807" s="10"/>
      <c r="H807" s="11"/>
    </row>
    <row r="808" ht="15.75" customHeight="1">
      <c r="A808" s="10"/>
      <c r="B808" s="10"/>
      <c r="H808" s="11"/>
    </row>
    <row r="809" ht="15.75" customHeight="1">
      <c r="A809" s="10"/>
      <c r="B809" s="10"/>
      <c r="H809" s="11"/>
    </row>
    <row r="810" ht="15.75" customHeight="1">
      <c r="A810" s="10"/>
      <c r="B810" s="10"/>
      <c r="H810" s="11"/>
    </row>
    <row r="811" ht="15.75" customHeight="1">
      <c r="A811" s="10"/>
      <c r="B811" s="10"/>
      <c r="H811" s="11"/>
    </row>
    <row r="812" ht="15.75" customHeight="1">
      <c r="A812" s="10"/>
      <c r="B812" s="10"/>
      <c r="H812" s="11"/>
    </row>
    <row r="813" ht="15.75" customHeight="1">
      <c r="A813" s="10"/>
      <c r="B813" s="10"/>
      <c r="H813" s="11"/>
    </row>
    <row r="814" ht="15.75" customHeight="1">
      <c r="A814" s="10"/>
      <c r="B814" s="10"/>
      <c r="H814" s="11"/>
    </row>
    <row r="815" ht="15.75" customHeight="1">
      <c r="A815" s="10"/>
      <c r="B815" s="10"/>
      <c r="H815" s="11"/>
    </row>
    <row r="816" ht="15.75" customHeight="1">
      <c r="A816" s="10"/>
      <c r="B816" s="10"/>
      <c r="H816" s="11"/>
    </row>
    <row r="817" ht="15.75" customHeight="1">
      <c r="A817" s="10"/>
      <c r="B817" s="10"/>
      <c r="H817" s="11"/>
    </row>
    <row r="818" ht="15.75" customHeight="1">
      <c r="A818" s="10"/>
      <c r="B818" s="10"/>
      <c r="H818" s="11"/>
    </row>
    <row r="819" ht="15.75" customHeight="1">
      <c r="A819" s="10"/>
      <c r="B819" s="10"/>
      <c r="H819" s="11"/>
    </row>
    <row r="820" ht="15.75" customHeight="1">
      <c r="A820" s="10"/>
      <c r="B820" s="10"/>
      <c r="H820" s="11"/>
    </row>
    <row r="821" ht="15.75" customHeight="1">
      <c r="A821" s="10"/>
      <c r="B821" s="10"/>
      <c r="H821" s="11"/>
    </row>
    <row r="822" ht="15.75" customHeight="1">
      <c r="A822" s="10"/>
      <c r="B822" s="10"/>
      <c r="H822" s="11"/>
    </row>
    <row r="823" ht="15.75" customHeight="1">
      <c r="A823" s="10"/>
      <c r="B823" s="10"/>
      <c r="H823" s="11"/>
    </row>
    <row r="824" ht="15.75" customHeight="1">
      <c r="A824" s="10"/>
      <c r="B824" s="10"/>
      <c r="H824" s="11"/>
    </row>
    <row r="825" ht="15.75" customHeight="1">
      <c r="A825" s="10"/>
      <c r="B825" s="10"/>
      <c r="H825" s="11"/>
    </row>
    <row r="826" ht="15.75" customHeight="1">
      <c r="A826" s="10"/>
      <c r="B826" s="10"/>
      <c r="H826" s="11"/>
    </row>
    <row r="827" ht="15.75" customHeight="1">
      <c r="A827" s="10"/>
      <c r="B827" s="10"/>
      <c r="H827" s="11"/>
    </row>
    <row r="828" ht="15.75" customHeight="1">
      <c r="A828" s="10"/>
      <c r="B828" s="10"/>
      <c r="H828" s="11"/>
    </row>
    <row r="829" ht="15.75" customHeight="1">
      <c r="A829" s="10"/>
      <c r="B829" s="10"/>
      <c r="H829" s="11"/>
    </row>
    <row r="830" ht="15.75" customHeight="1">
      <c r="A830" s="10"/>
      <c r="B830" s="10"/>
      <c r="H830" s="11"/>
    </row>
    <row r="831" ht="15.75" customHeight="1">
      <c r="A831" s="10"/>
      <c r="B831" s="10"/>
      <c r="H831" s="11"/>
    </row>
    <row r="832" ht="15.75" customHeight="1">
      <c r="A832" s="10"/>
      <c r="B832" s="10"/>
      <c r="H832" s="11"/>
    </row>
    <row r="833" ht="15.75" customHeight="1">
      <c r="A833" s="10"/>
      <c r="B833" s="10"/>
      <c r="H833" s="11"/>
    </row>
    <row r="834" ht="15.75" customHeight="1">
      <c r="A834" s="10"/>
      <c r="B834" s="10"/>
      <c r="H834" s="11"/>
    </row>
    <row r="835" ht="15.75" customHeight="1">
      <c r="A835" s="10"/>
      <c r="B835" s="10"/>
      <c r="H835" s="11"/>
    </row>
    <row r="836" ht="15.75" customHeight="1">
      <c r="A836" s="10"/>
      <c r="B836" s="10"/>
      <c r="H836" s="11"/>
    </row>
    <row r="837" ht="15.75" customHeight="1">
      <c r="A837" s="10"/>
      <c r="B837" s="10"/>
      <c r="H837" s="11"/>
    </row>
    <row r="838" ht="15.75" customHeight="1">
      <c r="A838" s="10"/>
      <c r="B838" s="10"/>
      <c r="H838" s="11"/>
    </row>
    <row r="839" ht="15.75" customHeight="1">
      <c r="A839" s="10"/>
      <c r="B839" s="10"/>
      <c r="H839" s="11"/>
    </row>
    <row r="840" ht="15.75" customHeight="1">
      <c r="A840" s="10"/>
      <c r="B840" s="10"/>
      <c r="H840" s="11"/>
    </row>
    <row r="841" ht="15.75" customHeight="1">
      <c r="A841" s="10"/>
      <c r="B841" s="10"/>
      <c r="H841" s="11"/>
    </row>
    <row r="842" ht="15.75" customHeight="1">
      <c r="A842" s="10"/>
      <c r="B842" s="10"/>
      <c r="H842" s="11"/>
    </row>
    <row r="843" ht="15.75" customHeight="1">
      <c r="A843" s="10"/>
      <c r="B843" s="10"/>
      <c r="H843" s="11"/>
    </row>
    <row r="844" ht="15.75" customHeight="1">
      <c r="A844" s="10"/>
      <c r="B844" s="10"/>
      <c r="H844" s="11"/>
    </row>
    <row r="845" ht="15.75" customHeight="1">
      <c r="A845" s="10"/>
      <c r="B845" s="10"/>
      <c r="H845" s="11"/>
    </row>
    <row r="846" ht="15.75" customHeight="1">
      <c r="A846" s="10"/>
      <c r="B846" s="10"/>
      <c r="H846" s="11"/>
    </row>
    <row r="847" ht="15.75" customHeight="1">
      <c r="A847" s="10"/>
      <c r="B847" s="10"/>
      <c r="H847" s="11"/>
    </row>
    <row r="848" ht="15.75" customHeight="1">
      <c r="A848" s="10"/>
      <c r="B848" s="10"/>
      <c r="H848" s="11"/>
    </row>
    <row r="849" ht="15.75" customHeight="1">
      <c r="A849" s="10"/>
      <c r="B849" s="10"/>
      <c r="H849" s="11"/>
    </row>
    <row r="850" ht="15.75" customHeight="1">
      <c r="A850" s="10"/>
      <c r="B850" s="10"/>
      <c r="H850" s="11"/>
    </row>
    <row r="851" ht="15.75" customHeight="1">
      <c r="A851" s="10"/>
      <c r="B851" s="10"/>
      <c r="H851" s="11"/>
    </row>
    <row r="852" ht="15.75" customHeight="1">
      <c r="A852" s="10"/>
      <c r="B852" s="10"/>
      <c r="H852" s="11"/>
    </row>
    <row r="853" ht="15.75" customHeight="1">
      <c r="A853" s="10"/>
      <c r="B853" s="10"/>
      <c r="H853" s="11"/>
    </row>
    <row r="854" ht="15.75" customHeight="1">
      <c r="A854" s="10"/>
      <c r="B854" s="10"/>
      <c r="H854" s="11"/>
    </row>
    <row r="855" ht="15.75" customHeight="1">
      <c r="A855" s="10"/>
      <c r="B855" s="10"/>
      <c r="H855" s="11"/>
    </row>
    <row r="856" ht="15.75" customHeight="1">
      <c r="A856" s="10"/>
      <c r="B856" s="10"/>
      <c r="H856" s="11"/>
    </row>
    <row r="857" ht="15.75" customHeight="1">
      <c r="A857" s="10"/>
      <c r="B857" s="10"/>
      <c r="H857" s="11"/>
    </row>
    <row r="858" ht="15.75" customHeight="1">
      <c r="A858" s="10"/>
      <c r="B858" s="10"/>
      <c r="H858" s="11"/>
    </row>
    <row r="859" ht="15.75" customHeight="1">
      <c r="A859" s="10"/>
      <c r="B859" s="10"/>
      <c r="H859" s="11"/>
    </row>
    <row r="860" ht="15.75" customHeight="1">
      <c r="A860" s="10"/>
      <c r="B860" s="10"/>
      <c r="H860" s="11"/>
    </row>
    <row r="861" ht="15.75" customHeight="1">
      <c r="A861" s="10"/>
      <c r="B861" s="10"/>
      <c r="H861" s="11"/>
    </row>
    <row r="862" ht="15.75" customHeight="1">
      <c r="A862" s="10"/>
      <c r="B862" s="10"/>
      <c r="H862" s="11"/>
    </row>
    <row r="863" ht="15.75" customHeight="1">
      <c r="A863" s="10"/>
      <c r="B863" s="10"/>
      <c r="H863" s="11"/>
    </row>
    <row r="864" ht="15.75" customHeight="1">
      <c r="A864" s="10"/>
      <c r="B864" s="10"/>
      <c r="H864" s="11"/>
    </row>
    <row r="865" ht="15.75" customHeight="1">
      <c r="A865" s="10"/>
      <c r="B865" s="10"/>
      <c r="H865" s="11"/>
    </row>
    <row r="866" ht="15.75" customHeight="1">
      <c r="A866" s="10"/>
      <c r="B866" s="10"/>
      <c r="H866" s="11"/>
    </row>
    <row r="867" ht="15.75" customHeight="1">
      <c r="A867" s="10"/>
      <c r="B867" s="10"/>
      <c r="H867" s="11"/>
    </row>
    <row r="868" ht="15.75" customHeight="1">
      <c r="A868" s="10"/>
      <c r="B868" s="10"/>
      <c r="H868" s="11"/>
    </row>
    <row r="869" ht="15.75" customHeight="1">
      <c r="A869" s="10"/>
      <c r="B869" s="10"/>
      <c r="H869" s="11"/>
    </row>
    <row r="870" ht="15.75" customHeight="1">
      <c r="A870" s="10"/>
      <c r="B870" s="10"/>
      <c r="H870" s="11"/>
    </row>
    <row r="871" ht="15.75" customHeight="1">
      <c r="A871" s="10"/>
      <c r="B871" s="10"/>
      <c r="H871" s="11"/>
    </row>
    <row r="872" ht="15.75" customHeight="1">
      <c r="A872" s="10"/>
      <c r="B872" s="10"/>
      <c r="H872" s="11"/>
    </row>
    <row r="873" ht="15.75" customHeight="1">
      <c r="A873" s="10"/>
      <c r="B873" s="10"/>
      <c r="H873" s="11"/>
    </row>
    <row r="874" ht="15.75" customHeight="1">
      <c r="A874" s="10"/>
      <c r="B874" s="10"/>
      <c r="H874" s="11"/>
    </row>
    <row r="875" ht="15.75" customHeight="1">
      <c r="A875" s="10"/>
      <c r="B875" s="10"/>
      <c r="H875" s="11"/>
    </row>
    <row r="876" ht="15.75" customHeight="1">
      <c r="A876" s="10"/>
      <c r="B876" s="10"/>
      <c r="H876" s="11"/>
    </row>
    <row r="877" ht="15.75" customHeight="1">
      <c r="A877" s="10"/>
      <c r="B877" s="10"/>
      <c r="H877" s="11"/>
    </row>
    <row r="878" ht="15.75" customHeight="1">
      <c r="A878" s="10"/>
      <c r="B878" s="10"/>
      <c r="H878" s="11"/>
    </row>
    <row r="879" ht="15.75" customHeight="1">
      <c r="A879" s="10"/>
      <c r="B879" s="10"/>
      <c r="H879" s="11"/>
    </row>
    <row r="880" ht="15.75" customHeight="1">
      <c r="A880" s="10"/>
      <c r="B880" s="10"/>
      <c r="H880" s="11"/>
    </row>
    <row r="881" ht="15.75" customHeight="1">
      <c r="A881" s="10"/>
      <c r="B881" s="10"/>
      <c r="H881" s="11"/>
    </row>
    <row r="882" ht="15.75" customHeight="1">
      <c r="A882" s="10"/>
      <c r="B882" s="10"/>
      <c r="H882" s="11"/>
    </row>
    <row r="883" ht="15.75" customHeight="1">
      <c r="A883" s="10"/>
      <c r="B883" s="10"/>
      <c r="H883" s="11"/>
    </row>
    <row r="884" ht="15.75" customHeight="1">
      <c r="A884" s="10"/>
      <c r="B884" s="10"/>
      <c r="H884" s="11"/>
    </row>
    <row r="885" ht="15.75" customHeight="1">
      <c r="A885" s="10"/>
      <c r="B885" s="10"/>
      <c r="H885" s="11"/>
    </row>
    <row r="886" ht="15.75" customHeight="1">
      <c r="A886" s="10"/>
      <c r="B886" s="10"/>
      <c r="H886" s="11"/>
    </row>
    <row r="887" ht="15.75" customHeight="1">
      <c r="A887" s="10"/>
      <c r="B887" s="10"/>
      <c r="H887" s="11"/>
    </row>
    <row r="888" ht="15.75" customHeight="1">
      <c r="A888" s="10"/>
      <c r="B888" s="10"/>
      <c r="H888" s="11"/>
    </row>
    <row r="889" ht="15.75" customHeight="1">
      <c r="A889" s="10"/>
      <c r="B889" s="10"/>
      <c r="H889" s="11"/>
    </row>
    <row r="890" ht="15.75" customHeight="1">
      <c r="A890" s="10"/>
      <c r="B890" s="10"/>
      <c r="H890" s="11"/>
    </row>
    <row r="891" ht="15.75" customHeight="1">
      <c r="A891" s="10"/>
      <c r="B891" s="10"/>
      <c r="H891" s="11"/>
    </row>
    <row r="892" ht="15.75" customHeight="1">
      <c r="A892" s="10"/>
      <c r="B892" s="10"/>
      <c r="H892" s="11"/>
    </row>
    <row r="893" ht="15.75" customHeight="1">
      <c r="A893" s="10"/>
      <c r="B893" s="10"/>
      <c r="H893" s="11"/>
    </row>
    <row r="894" ht="15.75" customHeight="1">
      <c r="A894" s="10"/>
      <c r="B894" s="10"/>
      <c r="H894" s="11"/>
    </row>
    <row r="895" ht="15.75" customHeight="1">
      <c r="A895" s="10"/>
      <c r="B895" s="10"/>
      <c r="H895" s="11"/>
    </row>
    <row r="896" ht="15.75" customHeight="1">
      <c r="A896" s="10"/>
      <c r="B896" s="10"/>
      <c r="H896" s="11"/>
    </row>
    <row r="897" ht="15.75" customHeight="1">
      <c r="A897" s="10"/>
      <c r="B897" s="10"/>
      <c r="H897" s="11"/>
    </row>
    <row r="898" ht="15.75" customHeight="1">
      <c r="A898" s="10"/>
      <c r="B898" s="10"/>
      <c r="H898" s="11"/>
    </row>
    <row r="899" ht="15.75" customHeight="1">
      <c r="A899" s="10"/>
      <c r="B899" s="10"/>
      <c r="H899" s="11"/>
    </row>
    <row r="900" ht="15.75" customHeight="1">
      <c r="A900" s="10"/>
      <c r="B900" s="10"/>
      <c r="H900" s="11"/>
    </row>
    <row r="901" ht="15.75" customHeight="1">
      <c r="A901" s="10"/>
      <c r="B901" s="10"/>
      <c r="H901" s="11"/>
    </row>
    <row r="902" ht="15.75" customHeight="1">
      <c r="A902" s="10"/>
      <c r="B902" s="10"/>
      <c r="H902" s="11"/>
    </row>
    <row r="903" ht="15.75" customHeight="1">
      <c r="A903" s="10"/>
      <c r="B903" s="10"/>
      <c r="H903" s="11"/>
    </row>
    <row r="904" ht="15.75" customHeight="1">
      <c r="A904" s="10"/>
      <c r="B904" s="10"/>
      <c r="H904" s="11"/>
    </row>
    <row r="905" ht="15.75" customHeight="1">
      <c r="A905" s="10"/>
      <c r="B905" s="10"/>
      <c r="H905" s="11"/>
    </row>
    <row r="906" ht="15.75" customHeight="1">
      <c r="A906" s="10"/>
      <c r="B906" s="10"/>
      <c r="H906" s="11"/>
    </row>
    <row r="907" ht="15.75" customHeight="1">
      <c r="A907" s="10"/>
      <c r="B907" s="10"/>
      <c r="H907" s="11"/>
    </row>
    <row r="908" ht="15.75" customHeight="1">
      <c r="A908" s="10"/>
      <c r="B908" s="10"/>
      <c r="H908" s="11"/>
    </row>
    <row r="909" ht="15.75" customHeight="1">
      <c r="A909" s="10"/>
      <c r="B909" s="10"/>
      <c r="H909" s="11"/>
    </row>
    <row r="910" ht="15.75" customHeight="1">
      <c r="A910" s="10"/>
      <c r="B910" s="10"/>
      <c r="H910" s="11"/>
    </row>
    <row r="911" ht="15.75" customHeight="1">
      <c r="A911" s="10"/>
      <c r="B911" s="10"/>
      <c r="H911" s="11"/>
    </row>
    <row r="912" ht="15.75" customHeight="1">
      <c r="A912" s="10"/>
      <c r="B912" s="10"/>
      <c r="H912" s="11"/>
    </row>
    <row r="913" ht="15.75" customHeight="1">
      <c r="A913" s="10"/>
      <c r="B913" s="10"/>
      <c r="H913" s="11"/>
    </row>
    <row r="914" ht="15.75" customHeight="1">
      <c r="A914" s="10"/>
      <c r="B914" s="10"/>
      <c r="H914" s="11"/>
    </row>
    <row r="915" ht="15.75" customHeight="1">
      <c r="A915" s="10"/>
      <c r="B915" s="10"/>
      <c r="H915" s="11"/>
    </row>
    <row r="916" ht="15.75" customHeight="1">
      <c r="A916" s="10"/>
      <c r="B916" s="10"/>
      <c r="H916" s="11"/>
    </row>
    <row r="917" ht="15.75" customHeight="1">
      <c r="A917" s="10"/>
      <c r="B917" s="10"/>
      <c r="H917" s="11"/>
    </row>
    <row r="918" ht="15.75" customHeight="1">
      <c r="A918" s="10"/>
      <c r="B918" s="10"/>
      <c r="H918" s="11"/>
    </row>
    <row r="919" ht="15.75" customHeight="1">
      <c r="A919" s="10"/>
      <c r="B919" s="10"/>
      <c r="H919" s="11"/>
    </row>
    <row r="920" ht="15.75" customHeight="1">
      <c r="A920" s="10"/>
      <c r="B920" s="10"/>
      <c r="H920" s="11"/>
    </row>
    <row r="921" ht="15.75" customHeight="1">
      <c r="A921" s="10"/>
      <c r="B921" s="10"/>
      <c r="H921" s="11"/>
    </row>
    <row r="922" ht="15.75" customHeight="1">
      <c r="A922" s="10"/>
      <c r="B922" s="10"/>
      <c r="H922" s="11"/>
    </row>
    <row r="923" ht="15.75" customHeight="1">
      <c r="A923" s="10"/>
      <c r="B923" s="10"/>
      <c r="H923" s="11"/>
    </row>
    <row r="924" ht="15.75" customHeight="1">
      <c r="A924" s="10"/>
      <c r="B924" s="10"/>
      <c r="H924" s="11"/>
    </row>
    <row r="925" ht="15.75" customHeight="1">
      <c r="A925" s="10"/>
      <c r="B925" s="10"/>
      <c r="H925" s="11"/>
    </row>
    <row r="926" ht="15.75" customHeight="1">
      <c r="A926" s="10"/>
      <c r="B926" s="10"/>
      <c r="H926" s="11"/>
    </row>
    <row r="927" ht="15.75" customHeight="1">
      <c r="A927" s="10"/>
      <c r="B927" s="10"/>
      <c r="H927" s="11"/>
    </row>
    <row r="928" ht="15.75" customHeight="1">
      <c r="A928" s="10"/>
      <c r="B928" s="10"/>
      <c r="H928" s="11"/>
    </row>
    <row r="929" ht="15.75" customHeight="1">
      <c r="A929" s="10"/>
      <c r="B929" s="10"/>
      <c r="H929" s="11"/>
    </row>
    <row r="930" ht="15.75" customHeight="1">
      <c r="A930" s="10"/>
      <c r="B930" s="10"/>
      <c r="H930" s="11"/>
    </row>
    <row r="931" ht="15.75" customHeight="1">
      <c r="A931" s="10"/>
      <c r="B931" s="10"/>
      <c r="H931" s="11"/>
    </row>
    <row r="932" ht="15.75" customHeight="1">
      <c r="A932" s="10"/>
      <c r="B932" s="10"/>
      <c r="H932" s="11"/>
    </row>
    <row r="933" ht="15.75" customHeight="1">
      <c r="A933" s="10"/>
      <c r="B933" s="10"/>
      <c r="H933" s="11"/>
    </row>
    <row r="934" ht="15.75" customHeight="1">
      <c r="A934" s="10"/>
      <c r="B934" s="10"/>
      <c r="H934" s="11"/>
    </row>
    <row r="935" ht="15.75" customHeight="1">
      <c r="A935" s="10"/>
      <c r="B935" s="10"/>
      <c r="H935" s="11"/>
    </row>
    <row r="936" ht="15.75" customHeight="1">
      <c r="A936" s="10"/>
      <c r="B936" s="10"/>
      <c r="H936" s="11"/>
    </row>
    <row r="937" ht="15.75" customHeight="1">
      <c r="A937" s="10"/>
      <c r="B937" s="10"/>
      <c r="H937" s="11"/>
    </row>
    <row r="938" ht="15.75" customHeight="1">
      <c r="A938" s="10"/>
      <c r="B938" s="10"/>
      <c r="H938" s="11"/>
    </row>
    <row r="939" ht="15.75" customHeight="1">
      <c r="A939" s="10"/>
      <c r="B939" s="10"/>
      <c r="H939" s="11"/>
    </row>
    <row r="940" ht="15.75" customHeight="1">
      <c r="A940" s="10"/>
      <c r="B940" s="10"/>
      <c r="H940" s="11"/>
    </row>
    <row r="941" ht="15.75" customHeight="1">
      <c r="A941" s="10"/>
      <c r="B941" s="10"/>
      <c r="H941" s="11"/>
    </row>
    <row r="942" ht="15.75" customHeight="1">
      <c r="A942" s="10"/>
      <c r="B942" s="10"/>
      <c r="H942" s="11"/>
    </row>
    <row r="943" ht="15.75" customHeight="1">
      <c r="A943" s="10"/>
      <c r="B943" s="10"/>
      <c r="H943" s="11"/>
    </row>
    <row r="944" ht="15.75" customHeight="1">
      <c r="A944" s="10"/>
      <c r="B944" s="10"/>
      <c r="H944" s="11"/>
    </row>
    <row r="945" ht="15.75" customHeight="1">
      <c r="A945" s="10"/>
      <c r="B945" s="10"/>
      <c r="H945" s="11"/>
    </row>
    <row r="946" ht="15.75" customHeight="1">
      <c r="A946" s="10"/>
      <c r="B946" s="10"/>
      <c r="H946" s="11"/>
    </row>
    <row r="947" ht="15.75" customHeight="1">
      <c r="A947" s="10"/>
      <c r="B947" s="10"/>
      <c r="H947" s="11"/>
    </row>
    <row r="948" ht="15.75" customHeight="1">
      <c r="A948" s="10"/>
      <c r="B948" s="10"/>
      <c r="H948" s="11"/>
    </row>
    <row r="949" ht="15.75" customHeight="1">
      <c r="A949" s="10"/>
      <c r="B949" s="10"/>
      <c r="H949" s="11"/>
    </row>
    <row r="950" ht="15.75" customHeight="1">
      <c r="A950" s="10"/>
      <c r="B950" s="10"/>
      <c r="H950" s="11"/>
    </row>
    <row r="951" ht="15.75" customHeight="1">
      <c r="A951" s="10"/>
      <c r="B951" s="10"/>
      <c r="H951" s="11"/>
    </row>
    <row r="952" ht="15.75" customHeight="1">
      <c r="A952" s="10"/>
      <c r="B952" s="10"/>
      <c r="H952" s="11"/>
    </row>
    <row r="953" ht="15.75" customHeight="1">
      <c r="A953" s="10"/>
      <c r="B953" s="10"/>
      <c r="H953" s="11"/>
    </row>
    <row r="954" ht="15.75" customHeight="1">
      <c r="A954" s="10"/>
      <c r="B954" s="10"/>
      <c r="H954" s="11"/>
    </row>
    <row r="955" ht="15.75" customHeight="1">
      <c r="A955" s="10"/>
      <c r="B955" s="10"/>
      <c r="H955" s="11"/>
    </row>
    <row r="956" ht="15.75" customHeight="1">
      <c r="A956" s="10"/>
      <c r="B956" s="10"/>
      <c r="H956" s="11"/>
    </row>
    <row r="957" ht="15.75" customHeight="1">
      <c r="A957" s="10"/>
      <c r="B957" s="10"/>
      <c r="H957" s="11"/>
    </row>
    <row r="958" ht="15.75" customHeight="1">
      <c r="A958" s="10"/>
      <c r="B958" s="10"/>
      <c r="H958" s="11"/>
    </row>
    <row r="959" ht="15.75" customHeight="1">
      <c r="A959" s="10"/>
      <c r="B959" s="10"/>
      <c r="H959" s="11"/>
    </row>
    <row r="960" ht="15.75" customHeight="1">
      <c r="A960" s="10"/>
      <c r="B960" s="10"/>
      <c r="H960" s="11"/>
    </row>
    <row r="961" ht="15.75" customHeight="1">
      <c r="A961" s="10"/>
      <c r="B961" s="10"/>
      <c r="H961" s="11"/>
    </row>
    <row r="962" ht="15.75" customHeight="1">
      <c r="A962" s="10"/>
      <c r="B962" s="10"/>
      <c r="H962" s="11"/>
    </row>
    <row r="963" ht="15.75" customHeight="1">
      <c r="A963" s="10"/>
      <c r="B963" s="10"/>
      <c r="H963" s="11"/>
    </row>
    <row r="964" ht="15.75" customHeight="1">
      <c r="A964" s="10"/>
      <c r="B964" s="10"/>
      <c r="H964" s="11"/>
    </row>
    <row r="965" ht="15.75" customHeight="1">
      <c r="A965" s="10"/>
      <c r="B965" s="10"/>
      <c r="H965" s="11"/>
    </row>
    <row r="966" ht="15.75" customHeight="1">
      <c r="A966" s="10"/>
      <c r="B966" s="10"/>
      <c r="H966" s="11"/>
    </row>
    <row r="967" ht="15.75" customHeight="1">
      <c r="A967" s="10"/>
      <c r="B967" s="10"/>
      <c r="H967" s="11"/>
    </row>
    <row r="968" ht="15.75" customHeight="1">
      <c r="A968" s="10"/>
      <c r="B968" s="10"/>
      <c r="H968" s="11"/>
    </row>
    <row r="969" ht="15.75" customHeight="1">
      <c r="A969" s="10"/>
      <c r="B969" s="10"/>
      <c r="H969" s="11"/>
    </row>
    <row r="970" ht="15.75" customHeight="1">
      <c r="A970" s="10"/>
      <c r="B970" s="10"/>
      <c r="H970" s="11"/>
    </row>
    <row r="971" ht="15.75" customHeight="1">
      <c r="A971" s="10"/>
      <c r="B971" s="10"/>
      <c r="H971" s="11"/>
    </row>
    <row r="972" ht="15.75" customHeight="1">
      <c r="A972" s="10"/>
      <c r="B972" s="10"/>
      <c r="H972" s="11"/>
    </row>
    <row r="973" ht="15.75" customHeight="1">
      <c r="A973" s="10"/>
      <c r="B973" s="10"/>
      <c r="H973" s="11"/>
    </row>
    <row r="974" ht="15.75" customHeight="1">
      <c r="A974" s="10"/>
      <c r="B974" s="10"/>
      <c r="H974" s="11"/>
    </row>
    <row r="975" ht="15.75" customHeight="1">
      <c r="A975" s="10"/>
      <c r="B975" s="10"/>
      <c r="H975" s="11"/>
    </row>
    <row r="976" ht="15.75" customHeight="1">
      <c r="A976" s="10"/>
      <c r="B976" s="10"/>
      <c r="H976" s="11"/>
    </row>
    <row r="977" ht="15.75" customHeight="1">
      <c r="A977" s="10"/>
      <c r="B977" s="10"/>
      <c r="H977" s="11"/>
    </row>
    <row r="978" ht="15.75" customHeight="1">
      <c r="A978" s="10"/>
      <c r="B978" s="10"/>
      <c r="H978" s="11"/>
    </row>
    <row r="979" ht="15.75" customHeight="1">
      <c r="A979" s="10"/>
      <c r="B979" s="10"/>
      <c r="H979" s="11"/>
    </row>
    <row r="980" ht="15.75" customHeight="1">
      <c r="A980" s="10"/>
      <c r="B980" s="10"/>
      <c r="H980" s="11"/>
    </row>
    <row r="981" ht="15.75" customHeight="1">
      <c r="A981" s="10"/>
      <c r="B981" s="10"/>
      <c r="H981" s="11"/>
    </row>
    <row r="982" ht="15.75" customHeight="1">
      <c r="A982" s="10"/>
      <c r="B982" s="10"/>
      <c r="H982" s="11"/>
    </row>
    <row r="983" ht="15.75" customHeight="1">
      <c r="A983" s="10"/>
      <c r="B983" s="10"/>
      <c r="H983" s="11"/>
    </row>
    <row r="984" ht="15.75" customHeight="1">
      <c r="A984" s="10"/>
      <c r="B984" s="10"/>
      <c r="H984" s="11"/>
    </row>
    <row r="985" ht="15.75" customHeight="1">
      <c r="A985" s="10"/>
      <c r="B985" s="10"/>
      <c r="H985" s="11"/>
    </row>
    <row r="986" ht="15.75" customHeight="1">
      <c r="A986" s="10"/>
      <c r="B986" s="10"/>
      <c r="H986" s="11"/>
    </row>
    <row r="987" ht="15.75" customHeight="1">
      <c r="A987" s="10"/>
      <c r="B987" s="10"/>
      <c r="H987" s="11"/>
    </row>
    <row r="988" ht="15.75" customHeight="1">
      <c r="A988" s="10"/>
      <c r="B988" s="10"/>
      <c r="H988" s="11"/>
    </row>
    <row r="989" ht="15.75" customHeight="1">
      <c r="A989" s="10"/>
      <c r="B989" s="10"/>
      <c r="H989" s="11"/>
    </row>
    <row r="990" ht="15.75" customHeight="1">
      <c r="A990" s="10"/>
      <c r="B990" s="10"/>
      <c r="H990" s="11"/>
    </row>
    <row r="991" ht="15.75" customHeight="1">
      <c r="A991" s="10"/>
      <c r="B991" s="10"/>
      <c r="H991" s="11"/>
    </row>
    <row r="992" ht="15.75" customHeight="1">
      <c r="A992" s="10"/>
      <c r="B992" s="10"/>
      <c r="H992" s="11"/>
    </row>
    <row r="993" ht="15.75" customHeight="1">
      <c r="A993" s="10"/>
      <c r="B993" s="10"/>
      <c r="H993" s="11"/>
    </row>
    <row r="994" ht="15.75" customHeight="1">
      <c r="A994" s="10"/>
      <c r="B994" s="10"/>
      <c r="H994" s="11"/>
    </row>
    <row r="995" ht="15.75" customHeight="1">
      <c r="A995" s="10"/>
      <c r="B995" s="10"/>
      <c r="H995" s="11"/>
    </row>
    <row r="996" ht="15.75" customHeight="1">
      <c r="A996" s="10"/>
      <c r="B996" s="10"/>
      <c r="H996" s="11"/>
    </row>
    <row r="997" ht="15.75" customHeight="1">
      <c r="A997" s="10"/>
      <c r="B997" s="10"/>
      <c r="H997" s="11"/>
    </row>
    <row r="998" ht="15.75" customHeight="1">
      <c r="A998" s="10"/>
      <c r="B998" s="10"/>
      <c r="H998" s="11"/>
    </row>
    <row r="999" ht="15.75" customHeight="1">
      <c r="A999" s="10"/>
      <c r="B999" s="10"/>
      <c r="H999" s="11"/>
    </row>
    <row r="1000" ht="15.75" customHeight="1">
      <c r="A1000" s="10"/>
      <c r="B1000" s="10"/>
      <c r="H1000" s="1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38"/>
    <col customWidth="1" min="5" max="5" width="14.5"/>
    <col customWidth="1" min="8" max="8" width="14.5"/>
    <col customWidth="1" min="11" max="11" width="14.5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30.63"/>
    <col customWidth="1" min="5" max="5" width="14.38"/>
  </cols>
  <sheetData>
    <row r="1">
      <c r="A1" s="14" t="s">
        <v>27</v>
      </c>
    </row>
    <row r="2">
      <c r="A2" s="15" t="s">
        <v>28</v>
      </c>
      <c r="B2" s="15" t="s">
        <v>29</v>
      </c>
      <c r="C2" s="15" t="s">
        <v>30</v>
      </c>
      <c r="D2" s="15" t="s">
        <v>31</v>
      </c>
      <c r="E2" s="16"/>
    </row>
    <row r="3">
      <c r="A3" s="17">
        <f>analises!E8</f>
        <v>2051442</v>
      </c>
      <c r="B3" s="17">
        <f>analises!E8 / COUNTA(vendas!A2:A1000)</f>
        <v>8547.675</v>
      </c>
      <c r="C3" s="18" t="str">
        <f>IFERROR(__xludf.DUMMYFUNCTION("QUERY(analises!G2:H5, ""select G order by H desc limit 1"", 0)"),"Ana")</f>
        <v>Ana</v>
      </c>
      <c r="D3" s="18" t="str">
        <f t="array" ref="D3">INDEX(analises!D2:D7, MATCH(MAX(analises!E2:E7), analises!E2:E7, 0))</f>
        <v>Notebook</v>
      </c>
    </row>
    <row r="4">
      <c r="A4" s="19"/>
      <c r="B4" s="19"/>
      <c r="C4" s="20">
        <f>IFERROR(__xludf.DUMMYFUNCTION("QUERY(analises!G2:H5, ""select H order by H desc limit 1"", 0)"),689945.0)</f>
        <v>689945</v>
      </c>
      <c r="D4" s="21">
        <f>MAX(analises!E2:E7)</f>
        <v>997613</v>
      </c>
    </row>
  </sheetData>
  <drawing r:id="rId2"/>
  <legacyDrawing r:id="rId3"/>
</worksheet>
</file>